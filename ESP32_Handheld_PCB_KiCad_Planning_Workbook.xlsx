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221d5c7f8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7cd153c91a4d81"/>
    <x:sheet xmlns:r="http://schemas.openxmlformats.org/officeDocument/2006/relationships" name="Board_Spec" sheetId="2" r:id="Rb60f9600d06d4508"/>
    <x:sheet xmlns:r="http://schemas.openxmlformats.org/officeDocument/2006/relationships" name="BOM_V1" sheetId="3" r:id="Rd74d73d8f4394ba1"/>
    <x:sheet xmlns:r="http://schemas.openxmlformats.org/officeDocument/2006/relationships" name="Pin_Map" sheetId="4" r:id="R13c750b4efc2456d"/>
    <x:sheet xmlns:r="http://schemas.openxmlformats.org/officeDocument/2006/relationships" name="Nets_Interfaces" sheetId="5" r:id="Re5dcc4b0444243d5"/>
    <x:sheet xmlns:r="http://schemas.openxmlformats.org/officeDocument/2006/relationships" name="Routing_Rules" sheetId="6" r:id="R801b3b458f7048ed"/>
    <x:sheet xmlns:r="http://schemas.openxmlformats.org/officeDocument/2006/relationships" name="Floorplan" sheetId="7" r:id="Rcc41021bec6c4d11"/>
    <x:sheet xmlns:r="http://schemas.openxmlformats.org/officeDocument/2006/relationships" name="Schematic_Checklist" sheetId="8" r:id="R2e0782acdd5e4ede"/>
    <x:sheet xmlns:r="http://schemas.openxmlformats.org/officeDocument/2006/relationships" name="KiCad_Steps" sheetId="9" r:id="R1fbd93c47ee34711"/>
    <x:sheet xmlns:r="http://schemas.openxmlformats.org/officeDocument/2006/relationships" name="Manufacturing" sheetId="10" r:id="Re34314c2ad324769"/>
    <x:sheet xmlns:r="http://schemas.openxmlformats.org/officeDocument/2006/relationships" name="Test_QA" sheetId="11" r:id="R36f52b76d769404a"/>
    <x:sheet xmlns:r="http://schemas.openxmlformats.org/officeDocument/2006/relationships" name="Legal_Safety" sheetId="12" r:id="Rb74d7a3c76774151"/>
    <x:sheet xmlns:r="http://schemas.openxmlformats.org/officeDocument/2006/relationships" name="Sources" sheetId="13" r:id="Rc2d5282782e8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F4E7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1c4236d814e1a" /><Relationship Type="http://schemas.openxmlformats.org/officeDocument/2006/relationships/theme" Target="/xl/theme/theme1.xml" Id="R1e14677c4292485a" /><Relationship Type="http://schemas.openxmlformats.org/officeDocument/2006/relationships/sharedStrings" Target="/xl/sharedStrings.xml" Id="R91e570bd39d44cce" /><Relationship Type="http://schemas.openxmlformats.org/officeDocument/2006/relationships/worksheet" Target="/xl/worksheets/sheet1.xml" Id="R7f7cd153c91a4d81" /><Relationship Type="http://schemas.openxmlformats.org/officeDocument/2006/relationships/worksheet" Target="/xl/worksheets/sheet2.xml" Id="Rb60f9600d06d4508" /><Relationship Type="http://schemas.openxmlformats.org/officeDocument/2006/relationships/worksheet" Target="/xl/worksheets/sheet3.xml" Id="Rd74d73d8f4394ba1" /><Relationship Type="http://schemas.openxmlformats.org/officeDocument/2006/relationships/worksheet" Target="/xl/worksheets/sheet4.xml" Id="R13c750b4efc2456d" /><Relationship Type="http://schemas.openxmlformats.org/officeDocument/2006/relationships/worksheet" Target="/xl/worksheets/sheet5.xml" Id="Re5dcc4b0444243d5" /><Relationship Type="http://schemas.openxmlformats.org/officeDocument/2006/relationships/worksheet" Target="/xl/worksheets/sheet6.xml" Id="R801b3b458f7048ed" /><Relationship Type="http://schemas.openxmlformats.org/officeDocument/2006/relationships/worksheet" Target="/xl/worksheets/sheet7.xml" Id="Rcc41021bec6c4d11" /><Relationship Type="http://schemas.openxmlformats.org/officeDocument/2006/relationships/worksheet" Target="/xl/worksheets/sheet8.xml" Id="R2e0782acdd5e4ede" /><Relationship Type="http://schemas.openxmlformats.org/officeDocument/2006/relationships/worksheet" Target="/xl/worksheets/sheet9.xml" Id="R1fbd93c47ee34711" /><Relationship Type="http://schemas.openxmlformats.org/officeDocument/2006/relationships/worksheet" Target="/xl/worksheets/sheet10.xml" Id="Re34314c2ad324769" /><Relationship Type="http://schemas.openxmlformats.org/officeDocument/2006/relationships/worksheet" Target="/xl/worksheets/sheet11.xml" Id="R36f52b76d769404a" /><Relationship Type="http://schemas.openxmlformats.org/officeDocument/2006/relationships/worksheet" Target="/xl/worksheets/sheet12.xml" Id="Rb74d7a3c76774151" /><Relationship Type="http://schemas.openxmlformats.org/officeDocument/2006/relationships/worksheet" Target="/xl/worksheets/sheet13.xml" Id="Rc2d5282782e8462c" /></Relationships>
</file>

<file path=xl/tables/table1.xml><?xml version="1.0" encoding="utf-8"?>
<x:table xmlns:x="http://schemas.openxmlformats.org/spreadsheetml/2006/main" id="1" name="BoardSpecTable" displayName="BoardSpecTable" ref="A3:F15" headerRowCount="1">
  <x:tableColumns count="6">
    <x:tableColumn id="1" name="Category"/>
    <x:tableColumn id="2" name="Recommended Value"/>
    <x:tableColumn id="3" name="Minimum / Alternative"/>
    <x:tableColumn id="4" name="Why it matters"/>
    <x:tableColumn id="5" name="KiCad action"/>
    <x:tableColumn id="6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BOMTable" displayName="BOMTable" ref="A1:P31" headerRowCount="1">
  <x:tableColumns count="16">
    <x:tableColumn id="1" name="Ref"/>
    <x:tableColumn id="2" name="Qty"/>
    <x:tableColumn id="3" name="Block"/>
    <x:tableColumn id="4" name="Description"/>
    <x:tableColumn id="5" name="Recommended Part"/>
    <x:tableColumn id="6" name="Cheaper / Alt"/>
    <x:tableColumn id="7" name="KiCad Symbol Search"/>
    <x:tableColumn id="8" name="KiCad Footprint"/>
    <x:tableColumn id="9" name="Populate V1?"/>
    <x:tableColumn id="10" name="Unit Low USD"/>
    <x:tableColumn id="11" name="Unit High USD"/>
    <x:tableColumn id="12" name="Ext Low"/>
    <x:tableColumn id="13" name="Ext High"/>
    <x:tableColumn id="14" name="Supplier"/>
    <x:tableColumn id="15" name="Source URL / Datasheet"/>
    <x:tableColumn id="1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inMapTable" displayName="PinMapTable" ref="A1:G26" headerRowCount="1">
  <x:tableColumns count="7">
    <x:tableColumn id="1" name="Peripheral"/>
    <x:tableColumn id="2" name="Signal"/>
    <x:tableColumn id="3" name="ESP32 GPIO / Pin"/>
    <x:tableColumn id="4" name="Direction"/>
    <x:tableColumn id="5" name="Net Label"/>
    <x:tableColumn id="6" name="Pullup/Pulldown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NetInterfaceTable" displayName="NetInterfaceTable" ref="A1:F14" headerRowCount="1">
  <x:tableColumns count="6">
    <x:tableColumn id="1" name="Net Label"/>
    <x:tableColumn id="2" name="Connects To"/>
    <x:tableColumn id="3" name="Electrical Type"/>
    <x:tableColumn id="4" name="Routing Priority"/>
    <x:tableColumn id="5" name="Trace Width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outingRulesTable" displayName="RoutingRulesTable" ref="A1:E13" headerRowCount="1">
  <x:tableColumns count="5">
    <x:tableColumn id="1" name="Rule Area"/>
    <x:tableColumn id="2" name="Recommended Rule"/>
    <x:tableColumn id="3" name="KiCad Setting / Action"/>
    <x:tableColumn id="4" name="Reason"/>
    <x:tableColumn id="5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FloorplanTable" displayName="FloorplanTable" ref="A3:F10" headerRowCount="1">
  <x:tableColumns count="6">
    <x:tableColumn id="1" name="Zone"/>
    <x:tableColumn id="2" name="Y range on 100mm board"/>
    <x:tableColumn id="3" name="X range"/>
    <x:tableColumn id="4" name="Place"/>
    <x:tableColumn id="5" name="Important rules"/>
    <x:tableColumn id="6" name="KiCad layer/help"/>
  </x:tableColumns>
  <x:tableStyleInfo name="TableStyleMedium2" showRowStripes="1"/>
</x:table>
</file>

<file path=xl/tables/table7.xml><?xml version="1.0" encoding="utf-8"?>
<x:table xmlns:x="http://schemas.openxmlformats.org/spreadsheetml/2006/main" id="7" name="SchematicChecklistTable" displayName="SchematicChecklistTable" ref="A1:E17" headerRowCount="1">
  <x:tableColumns count="5">
    <x:tableColumn id="1" name="Block"/>
    <x:tableColumn id="2" name="Checklist Item"/>
    <x:tableColumn id="3" name="Expected Value / Connection"/>
    <x:tableColumn id="4" name="Why"/>
    <x:tableColumn id="5" name="Done?"/>
  </x:tableColumns>
  <x:tableStyleInfo name="TableStyleMedium2" showRowStripes="1"/>
</x:table>
</file>

<file path=xl/tables/table8.xml><?xml version="1.0" encoding="utf-8"?>
<x:table xmlns:x="http://schemas.openxmlformats.org/spreadsheetml/2006/main" id="8" name="KiCadStepsTable" displayName="KiCadStepsTable" ref="A1:E15" headerRowCount="1">
  <x:tableColumns count="5">
    <x:tableColumn id="1" name="Step"/>
    <x:tableColumn id="2" name="KiCad Action"/>
    <x:tableColumn id="3" name="What to do"/>
    <x:tableColumn id="4" name="Shortcut / Menu"/>
    <x:tableColumn id="5" name="Common mistake"/>
  </x:tableColumns>
  <x:tableStyleInfo name="TableStyleMedium2" showRowStripes="1"/>
</x:table>
</file>

<file path=xl/tables/table9.xml><?xml version="1.0" encoding="utf-8"?>
<x:table xmlns:x="http://schemas.openxmlformats.org/spreadsheetml/2006/main" id="9" name="ManufacturingTable" displayName="ManufacturingTable" ref="A1:D16" headerRowCount="1">
  <x:tableColumns count="4">
    <x:tableColumn id="1" name="Output / Setting"/>
    <x:tableColumn id="2" name="Recommended Value"/>
    <x:tableColumn id="3" name="Where in KiCad"/>
    <x:tableColumn id="4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TestQATable" displayName="TestQATable" ref="A1:F17" headerRowCount="1">
  <x:tableColumns count="6">
    <x:tableColumn id="1" name="Stage"/>
    <x:tableColumn id="2" name="Test"/>
    <x:tableColumn id="3" name="Method"/>
    <x:tableColumn id="4" name="Expected Result"/>
    <x:tableColumn id="5" name="Pass/Fail"/>
    <x:tableColumn id="6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LegalSafetyTable" displayName="LegalSafetyTable" ref="A1:D7" headerRowCount="1">
  <x:tableColumns count="4">
    <x:tableColumn id="1" name="Area"/>
    <x:tableColumn id="2" name="Allowed / Safe Use"/>
    <x:tableColumn id="3" name="Avoid / Do Not Build"/>
    <x:tableColumn id="4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SourcesTable" displayName="SourcesTable" ref="A1:C12" headerRowCount="1">
  <x:tableColumns count="3">
    <x:tableColumn id="1" name="Topic"/>
    <x:tableColumn id="2" name="Source / Datasheet 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30ff99a36d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aa42c83ea24c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0d3cbc670e49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d39f9f38f642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9d940d0c1a41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b49ad987b741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68f337d84244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269ac5004740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4a49b63a05343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7a38cdfcd6e46e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d9b0c2405b844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1935a5134de47b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38" t="str">
        <x:v>ESP32 Handheld Defensive Cybersecurity PCB — KiCad Planning Workbook</x:v>
      </x:c>
      <x:c r="B1" s="39"/>
      <x:c r="C1" s="39"/>
      <x:c r="D1" s="39"/>
      <x:c r="E1" s="39"/>
      <x:c r="F1" s="39"/>
      <x:c r="G1" s="39"/>
      <x:c r="H1" s="39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Purpose</x:v>
      </x:c>
      <x:c r="B2" s="39" t="str">
        <x:v>Design a small handheld ESP32-based PCB for learning PCB development and defensive/authorized wireless diagnostics only.</x:v>
      </x:c>
      <x:c r="C2" s="39" t="str"/>
      <x:c r="D2" s="39" t="str"/>
      <x:c r="E2" s="39" t="str"/>
      <x:c r="F2" s="39" t="str"/>
      <x:c r="G2" s="39" t="str"/>
      <x:c r="H2" s="39" t="str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41" t="str">
        <x:v>How to use this workbook</x:v>
      </x:c>
      <x:c r="B4" s="41" t="str"/>
      <x:c r="C4" s="41" t="str"/>
      <x:c r="D4" s="41" t="str"/>
      <x:c r="E4" s="41" t="str"/>
      <x:c r="F4" s="41" t="str"/>
      <x:c r="G4" s="41" t="str"/>
      <x:c r="H4" s="41" t="str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1</x:v>
      </x:c>
      <x:c r="B5" s="39" t="str">
        <x:v>Start with the Board_Spec sheet: it defines the exact handheld size, layer count, and V1 scope.</x:v>
      </x:c>
      <x:c r="C5" s="39"/>
      <x:c r="D5" s="41" t="str">
        <x:v>Recommended V1 build order</x:v>
      </x:c>
      <x:c r="E5" s="41" t="str"/>
      <x:c r="F5" s="41" t="str"/>
      <x:c r="G5" s="41" t="str"/>
      <x:c r="H5" s="41" t="str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2</x:v>
      </x:c>
      <x:c r="B6" s="39" t="str">
        <x:v>Use BOM_V1 as your shopping/footprint checklist. Only populate advanced RF/NFC modules as headers in V1.</x:v>
      </x:c>
      <x:c r="C6" s="39"/>
      <x:c r="D6" s="39" t="str">
        <x:v>1. Power + ESP32 flashing</x:v>
      </x:c>
      <x:c r="E6" s="39" t="str"/>
      <x:c r="F6" s="39" t="str"/>
      <x:c r="G6" s="39" t="str"/>
      <x:c r="H6" s="39" t="str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3</x:v>
      </x:c>
      <x:c r="B7" s="39" t="str">
        <x:v>Use Pin_Map and Nets_Interfaces when drawing the schematic in KiCad.</x:v>
      </x:c>
      <x:c r="C7" s="39"/>
      <x:c r="D7" s="39" t="str">
        <x:v>2. OLED + buttons</x:v>
      </x:c>
      <x:c r="E7" s="39" t="str"/>
      <x:c r="F7" s="39" t="str"/>
      <x:c r="G7" s="39" t="str"/>
      <x:c r="H7" s="39" t="str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4</x:v>
      </x:c>
      <x:c r="B8" s="39" t="str">
        <x:v>Use Routing_Rules and Floorplan while placing parts and routing in PCB Editor.</x:v>
      </x:c>
      <x:c r="C8" s="39"/>
      <x:c r="D8" s="39" t="str">
        <x:v>3. Battery sense + IR</x:v>
      </x:c>
      <x:c r="E8" s="39" t="str"/>
      <x:c r="F8" s="39" t="str"/>
      <x:c r="G8" s="39" t="str"/>
      <x:c r="H8" s="39" t="str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5</x:v>
      </x:c>
      <x:c r="B9" s="39" t="str">
        <x:v>Use KiCad_Checklist before ordering PCBs, then Test_QA after assembly.</x:v>
      </x:c>
      <x:c r="C9" s="39"/>
      <x:c r="D9" s="39" t="str">
        <x:v>4. microSD / expansion headers</x:v>
      </x:c>
      <x:c r="E9" s="39" t="str"/>
      <x:c r="F9" s="39" t="str"/>
      <x:c r="G9" s="39" t="str"/>
      <x:c r="H9" s="39" t="str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6</x:v>
      </x:c>
      <x:c r="B10" s="39" t="str">
        <x:v>Do not add or run firmware features that interfere with third-party networks/devices, capture credentials, clone access systems, jam signals, or transmit illegally.</x:v>
      </x:c>
      <x:c r="C10" s="39"/>
      <x:c r="D10" s="39" t="str">
        <x:v>5. RF/NFC modules only after core board works</x:v>
      </x:c>
      <x:c r="E10" s="39" t="str"/>
      <x:c r="F10" s="39" t="str"/>
      <x:c r="G10" s="39" t="str"/>
      <x:c r="H10" s="39" t="str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/>
      <x:c r="B11" s="39"/>
      <x:c r="C11" s="39"/>
      <x:c r="D11" s="39"/>
      <x:c r="E11" s="39"/>
      <x:c r="F11" s="39"/>
      <x:c r="G11" s="39"/>
      <x:c r="H11" s="39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41" t="str">
        <x:v>Assumptions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ESP32 type</x:v>
      </x:c>
      <x:c r="B13" s="39" t="str">
        <x:v>Classic ESP32-WROOM/WROOM-32E style module with Wi-Fi + BT/BLE, 2.4 GHz ISM, 802.11 b/g/n. If your module is ESP32-S3, pinout/USB changes.</x:v>
      </x:c>
      <x:c r="C13" s="39"/>
      <x:c r="D13" s="39"/>
      <x:c r="E13" s="39"/>
      <x:c r="F13" s="39"/>
      <x:c r="G13" s="39"/>
      <x:c r="H13" s="39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str">
        <x:v>PCB goal</x:v>
      </x:c>
      <x:c r="B14" s="39" t="str">
        <x:v>PCB learning project first; handheld defensive utility second. Keep V1 simple and working.</x:v>
      </x:c>
      <x:c r="C14" s="39"/>
      <x:c r="D14" s="39"/>
      <x:c r="E14" s="39"/>
      <x:c r="F14" s="39"/>
      <x:c r="G14" s="39"/>
      <x:c r="H14" s="39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15" hidden="0" customHeight="1">
      <x:c r="A15" s="39" t="str">
        <x:v>Wi-Fi antenna</x:v>
      </x:c>
      <x:c r="B15" s="39" t="str">
        <x:v>Use module’s built-in PCB antenna if available. Do not design your own 2.4 GHz antenna for V1.</x:v>
      </x:c>
      <x:c r="C15" s="39"/>
      <x:c r="D15" s="39"/>
      <x:c r="E15" s="39"/>
      <x:c r="F15" s="39"/>
      <x:c r="G15" s="39"/>
      <x:c r="H15" s="39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15" hidden="0" customHeight="1">
      <x:c r="A16" s="39" t="str">
        <x:v>Legal scope</x:v>
      </x:c>
      <x:c r="B16" s="39" t="str">
        <x:v>Authorized lab/defensive diagnostics only. No deauth/evil portal/credential capture/jamming/access-card cloning features.</x:v>
      </x:c>
      <x:c r="C16" s="39"/>
      <x:c r="D16" s="39"/>
      <x:c r="E16" s="39"/>
      <x:c r="F16" s="39"/>
      <x:c r="G16" s="39"/>
      <x:c r="H16" s="39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15" hidden="0" customHeight="1">
      <x:c r="A17" s="39"/>
      <x:c r="B17" s="39"/>
      <x:c r="C17" s="39"/>
      <x:c r="D17" s="39"/>
      <x:c r="E17" s="39"/>
      <x:c r="F17" s="39"/>
      <x:c r="G17" s="39"/>
      <x:c r="H17" s="39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15" hidden="0" customHeight="1">
      <x:c r="A18" s="39"/>
      <x:c r="B18" s="39"/>
      <x:c r="C18" s="39"/>
      <x:c r="D18" s="39"/>
      <x:c r="E18" s="39"/>
      <x:c r="F18" s="39"/>
      <x:c r="G18" s="39"/>
      <x:c r="H18" s="39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 ht="15" hidden="0" customHeight="1">
      <x:c r="A19" s="39"/>
      <x:c r="B19" s="39"/>
      <x:c r="C19" s="39"/>
      <x:c r="D19" s="39"/>
      <x:c r="E19" s="39"/>
      <x:c r="F19" s="39"/>
      <x:c r="G19" s="39"/>
      <x:c r="H19" s="39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 ht="15" hidden="0" customHeight="1">
      <x:c r="A20" s="39"/>
      <x:c r="B20" s="39"/>
      <x:c r="C20" s="39"/>
      <x:c r="D20" s="39"/>
      <x:c r="E20" s="39"/>
      <x:c r="F20" s="39"/>
      <x:c r="G20" s="39"/>
      <x:c r="H20" s="39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44" hidden="0" customWidth="1"/>
    <x:col min="5" max="5" width="44" hidden="0" customWidth="1"/>
    <x:col min="6" max="6" width="14" hidden="0" customWidth="1"/>
  </x:cols>
  <x:sheetData>
    <x:row r="1" ht="19.200000762939453" hidden="0" customHeight="1">
      <x:c r="A1" s="46" t="str">
        <x:v>Handheld PCB Size, Stackup, and Mechanical Targets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47" t="str">
        <x:v>Category</x:v>
      </x:c>
      <x:c r="B3" s="47" t="str">
        <x:v>Recommended Value</x:v>
      </x:c>
      <x:c r="C3" s="47" t="str">
        <x:v>Minimum / Alternative</x:v>
      </x:c>
      <x:c r="D3" s="47" t="str">
        <x:v>Why it matters</x:v>
      </x:c>
      <x:c r="E3" s="47" t="str">
        <x:v>KiCad action</x:v>
      </x:c>
      <x:c r="F3" s="47" t="str">
        <x:v>Status</x:v>
      </x:c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Board size</x:v>
      </x:c>
      <x:c r="B4" s="39" t="str">
        <x:v>60 mm × 100 mm</x:v>
      </x:c>
      <x:c r="C4" s="39" t="str">
        <x:v>55 mm × 90 mm minimum; 65 mm × 110 mm easier</x:v>
      </x:c>
      <x:c r="D4" s="39" t="str">
        <x:v>Comfortable handheld size with room for ESP32 antenna, OLED, buttons, and USB-C</x:v>
      </x:c>
      <x:c r="E4" s="39" t="str">
        <x:v>Draw Edge.Cuts rectangle from (0,0) to (60,100)</x:v>
      </x:c>
      <x:c r="F4" s="39" t="str">
        <x:v>Use</x:v>
      </x:c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Board thickness</x:v>
      </x:c>
      <x:c r="B5" s="39" t="str">
        <x:v>1.6 mm</x:v>
      </x:c>
      <x:c r="C5" s="39" t="str">
        <x:v>1.2 mm possible</x:v>
      </x:c>
      <x:c r="D5" s="39" t="str">
        <x:v>Standard, cheap, strong</x:v>
      </x:c>
      <x:c r="E5" s="39" t="str">
        <x:v>Board Setup → Physical Stackup</x:v>
      </x:c>
      <x:c r="F5" s="39" t="str">
        <x:v>Use</x:v>
      </x:c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Layers</x:v>
      </x:c>
      <x:c r="B6" s="39" t="str">
        <x:v>2-layer V1</x:v>
      </x:c>
      <x:c r="C6" s="39" t="str">
        <x:v>4-layer if budget allows</x:v>
      </x:c>
      <x:c r="D6" s="39" t="str">
        <x:v>2-layer is easier/cheaper for learning; 4-layer improves ground/RF/power</x:v>
      </x:c>
      <x:c r="E6" s="39" t="str">
        <x:v>Board Setup → Board Stackup</x:v>
      </x:c>
      <x:c r="F6" s="39" t="str">
        <x:v>Use</x:v>
      </x:c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Copper weight</x:v>
      </x:c>
      <x:c r="B7" s="39" t="str">
        <x:v>1 oz</x:v>
      </x:c>
      <x:c r="C7" s="39" t="str">
        <x:v>2 oz not needed</x:v>
      </x:c>
      <x:c r="D7" s="39" t="str">
        <x:v>Standard manufacturing default</x:v>
      </x:c>
      <x:c r="E7" s="39" t="str">
        <x:v>Fab order setting</x:v>
      </x:c>
      <x:c r="F7" s="39" t="str">
        <x:v>Use</x:v>
      </x:c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Finish</x:v>
      </x:c>
      <x:c r="B8" s="39" t="str">
        <x:v>HASL for lowest cost; ENIG if affordable</x:v>
      </x:c>
      <x:c r="C8" s="39" t="str">
        <x:v>Lead-free HASL also OK</x:v>
      </x:c>
      <x:c r="D8" s="39" t="str">
        <x:v>ENIG is nicer for small pads but costs more</x:v>
      </x:c>
      <x:c r="E8" s="39" t="str">
        <x:v>Fab order setting</x:v>
      </x:c>
      <x:c r="F8" s="39" t="str">
        <x:v>Decide</x:v>
      </x:c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Main placement</x:v>
      </x:c>
      <x:c r="B9" s="39" t="str">
        <x:v>Portrait orientation</x:v>
      </x:c>
      <x:c r="C9" s="39" t="str">
        <x:v>Landscape not recommended</x:v>
      </x:c>
      <x:c r="D9" s="39" t="str">
        <x:v>Handheld use and antenna placement are easier</x:v>
      </x:c>
      <x:c r="E9" s="39" t="str">
        <x:v>Place board tall: 60 wide × 100 high</x:v>
      </x:c>
      <x:c r="F9" s="39" t="str">
        <x:v>Use</x:v>
      </x:c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ESP32 location</x:v>
      </x:c>
      <x:c r="B10" s="39" t="str">
        <x:v>Top edge</x:v>
      </x:c>
      <x:c r="C10" s="39" t="str">
        <x:v>Top-left/top-right edge possible</x:v>
      </x:c>
      <x:c r="D10" s="39" t="str">
        <x:v>Antenna needs clear area</x:v>
      </x:c>
      <x:c r="E10" s="39" t="str">
        <x:v>Place RF_Module:ESP32-WROOM-32 with antenna facing top edge</x:v>
      </x:c>
      <x:c r="F10" s="39" t="str">
        <x:v>Use</x:v>
      </x:c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str">
        <x:v>OLED location</x:v>
      </x:c>
      <x:c r="B11" s="39" t="str">
        <x:v>Upper-middle under ESP32 keepout</x:v>
      </x:c>
      <x:c r="C11" s="39" t="str">
        <x:v>0.96 inch if cramped</x:v>
      </x:c>
      <x:c r="D11" s="39" t="str">
        <x:v>Readable UI</x:v>
      </x:c>
      <x:c r="E11" s="39" t="str">
        <x:v>1x04 header or FPC/through-hole OLED module</x:v>
      </x:c>
      <x:c r="F11" s="39" t="str">
        <x:v>Use</x:v>
      </x:c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str">
        <x:v>Buttons</x:v>
      </x:c>
      <x:c r="B12" s="39" t="str">
        <x:v>5 buttons below OLED</x:v>
      </x:c>
      <x:c r="C12" s="39" t="str">
        <x:v>4 buttons if space/cost matters</x:v>
      </x:c>
      <x:c r="D12" s="39" t="str">
        <x:v>Menu navigation</x:v>
      </x:c>
      <x:c r="E12" s="39" t="str">
        <x:v>D-pad or vertical menu layout</x:v>
      </x:c>
      <x:c r="F12" s="39" t="str">
        <x:v>Use</x:v>
      </x:c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USB-C</x:v>
      </x:c>
      <x:c r="B13" s="39" t="str">
        <x:v>Bottom edge</x:v>
      </x:c>
      <x:c r="C13" s="39" t="str">
        <x:v>Side edge possible</x:v>
      </x:c>
      <x:c r="D13" s="39" t="str">
        <x:v>Easy charging/programming</x:v>
      </x:c>
      <x:c r="E13" s="39" t="str">
        <x:v>Place connector at board edge</x:v>
      </x:c>
      <x:c r="F13" s="39" t="str">
        <x:v>Use</x:v>
      </x:c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str">
        <x:v>Battery</x:v>
      </x:c>
      <x:c r="B14" s="39" t="str">
        <x:v>Back side lower/middle</x:v>
      </x:c>
      <x:c r="C14" s="39" t="str">
        <x:v>External battery pack for prototype</x:v>
      </x:c>
      <x:c r="D14" s="39" t="str">
        <x:v>Keep away from antenna</x:v>
      </x:c>
      <x:c r="E14" s="39" t="str">
        <x:v>Add JST-PH and mounting area on back</x:v>
      </x:c>
      <x:c r="F14" s="39" t="str">
        <x:v>Use</x:v>
      </x:c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15" hidden="0" customHeight="1">
      <x:c r="A15" s="39" t="str">
        <x:v>Antenna keepout</x:v>
      </x:c>
      <x:c r="B15" s="39" t="str">
        <x:v>No copper/parts under ESP32 antenna; keep 15 mm clear in front if possible</x:v>
      </x:c>
      <x:c r="C15" s="39" t="str">
        <x:v>At least follow module datasheet keepout</x:v>
      </x:c>
      <x:c r="D15" s="39" t="str">
        <x:v>Bad antenna placement kills Wi-Fi range</x:v>
      </x:c>
      <x:c r="E15" s="39" t="str">
        <x:v>Add User.Drawings keepout rectangle + no copper zone</x:v>
      </x:c>
      <x:c r="F15" s="39" t="str">
        <x:v>Use</x:v>
      </x:c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430ff99a36d42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16" hidden="0" customWidth="1"/>
    <x:col min="4" max="4" width="34" hidden="0" customWidth="1"/>
    <x:col min="5" max="5" width="28" hidden="0" customWidth="1"/>
    <x:col min="6" max="6" width="26" hidden="0" customWidth="1"/>
    <x:col min="7" max="7" width="20" hidden="0" customWidth="1"/>
    <x:col min="8" max="8" width="4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8" hidden="0" customWidth="1"/>
    <x:col min="15" max="15" width="50" hidden="0" customWidth="1"/>
    <x:col min="16" max="16" width="50" hidden="0" customWidth="1"/>
  </x:cols>
  <x:sheetData>
    <x:row r="1" ht="15" hidden="0" customHeight="1">
      <x:c r="A1" s="47" t="str">
        <x:v>Ref</x:v>
      </x:c>
      <x:c r="B1" s="47" t="str">
        <x:v>Qty</x:v>
      </x:c>
      <x:c r="C1" s="47" t="str">
        <x:v>Block</x:v>
      </x:c>
      <x:c r="D1" s="47" t="str">
        <x:v>Description</x:v>
      </x:c>
      <x:c r="E1" s="47" t="str">
        <x:v>Recommended Part</x:v>
      </x:c>
      <x:c r="F1" s="47" t="str">
        <x:v>Cheaper / Alt</x:v>
      </x:c>
      <x:c r="G1" s="47" t="str">
        <x:v>KiCad Symbol Search</x:v>
      </x:c>
      <x:c r="H1" s="47" t="str">
        <x:v>KiCad Footprint</x:v>
      </x:c>
      <x:c r="I1" s="47" t="str">
        <x:v>Populate V1?</x:v>
      </x:c>
      <x:c r="J1" s="47" t="str">
        <x:v>Unit Low USD</x:v>
      </x:c>
      <x:c r="K1" s="47" t="str">
        <x:v>Unit High USD</x:v>
      </x:c>
      <x:c r="L1" s="47" t="str">
        <x:v>Ext Low</x:v>
      </x:c>
      <x:c r="M1" s="47" t="str">
        <x:v>Ext High</x:v>
      </x:c>
      <x:c r="N1" s="47" t="str">
        <x:v>Supplier</x:v>
      </x:c>
      <x:c r="O1" s="47" t="str">
        <x:v>Source URL / Datasheet</x:v>
      </x:c>
      <x:c r="P1" s="47" t="str">
        <x:v>Notes</x:v>
      </x:c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U1</x:v>
      </x:c>
      <x:c r="B2" s="39" t="n">
        <x:v>1</x:v>
      </x:c>
      <x:c r="C2" s="39" t="str">
        <x:v>MCU</x:v>
      </x:c>
      <x:c r="D2" s="39" t="str">
        <x:v>ESP32 Wi-Fi/BLE module, castellated</x:v>
      </x:c>
      <x:c r="E2" s="39" t="str">
        <x:v>ESP32-WROOM-32E-N4 or ESP32-WROOM-32</x:v>
      </x:c>
      <x:c r="F2" s="39" t="str">
        <x:v>ESP32-WROOM-32D clone module</x:v>
      </x:c>
      <x:c r="G2" s="39" t="str">
        <x:v>ESP32-WROOM</x:v>
      </x:c>
      <x:c r="H2" s="39" t="str">
        <x:v>RF_Module:ESP32-WROOM-32</x:v>
      </x:c>
      <x:c r="I2" s="39" t="str">
        <x:v>Yes</x:v>
      </x:c>
      <x:c r="J2" s="50" t="n">
        <x:v>4.5</x:v>
      </x:c>
      <x:c r="K2" s="50" t="n">
        <x:v>7</x:v>
      </x:c>
      <x:c r="L2" s="50" t="n">
        <x:f>B2*J2</x:f>
        <x:v>4.5</x:v>
      </x:c>
      <x:c r="M2" s="50" t="n">
        <x:f>B2*K2</x:f>
        <x:v>7</x:v>
      </x:c>
      <x:c r="N2" s="39" t="str">
        <x:v>DigiKey/Mouser/AliExpress</x:v>
      </x:c>
      <x:c r="O2" s="39" t="str">
        <x:v>https://www.espressif.com/en/producttype/esp32-wroom-32e32ue</x:v>
      </x:c>
      <x:c r="P2" s="39" t="str">
        <x:v>Use module with built-in PCB antenna unless you specifically own U.FL version.</x:v>
      </x:c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str">
        <x:v>J_DEV</x:v>
      </x:c>
      <x:c r="B3" s="39" t="n">
        <x:v>2</x:v>
      </x:c>
      <x:c r="C3" s="39" t="str">
        <x:v>MCU alternate</x:v>
      </x:c>
      <x:c r="D3" s="39" t="str">
        <x:v>Optional 2.54 mm headers for ESP32 DevKit mounting</x:v>
      </x:c>
      <x:c r="E3" s="39" t="str">
        <x:v>1x19 female headers</x:v>
      </x:c>
      <x:c r="F3" s="39" t="str">
        <x:v>1x15/1x18 depending board</x:v>
      </x:c>
      <x:c r="G3" s="39" t="str">
        <x:v>Conn_01x19</x:v>
      </x:c>
      <x:c r="H3" s="39" t="str">
        <x:v>Connector_PinSocket_2.54mm:PinSocket_1x19_P2.54mm_Vertical</x:v>
      </x:c>
      <x:c r="I3" s="39" t="str">
        <x:v>Optional</x:v>
      </x:c>
      <x:c r="J3" s="50" t="n">
        <x:v>0.3</x:v>
      </x:c>
      <x:c r="K3" s="50" t="n">
        <x:v>1</x:v>
      </x:c>
      <x:c r="L3" s="50" t="n">
        <x:f>B3*J3</x:f>
        <x:v>0.6</x:v>
      </x:c>
      <x:c r="M3" s="50" t="n">
        <x:f>B3*K3</x:f>
        <x:v>2</x:v>
      </x:c>
      <x:c r="N3" s="39" t="str">
        <x:v>AliExpress/LCSC</x:v>
      </x:c>
      <x:c r="O3" s="39" t="str"/>
      <x:c r="P3" s="39" t="str">
        <x:v>Only use if designing for plug-in DevKit instead of soldering module.</x:v>
      </x:c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J1</x:v>
      </x:c>
      <x:c r="B4" s="39" t="n">
        <x:v>1</x:v>
      </x:c>
      <x:c r="C4" s="39" t="str">
        <x:v>USB</x:v>
      </x:c>
      <x:c r="D4" s="39" t="str">
        <x:v>USB-C receptacle, USB 2.0 sink</x:v>
      </x:c>
      <x:c r="E4" s="39" t="str">
        <x:v>HRO TYPE-C-31-M-12</x:v>
      </x:c>
      <x:c r="F4" s="39" t="str">
        <x:v>Generic USB-C 16-pin</x:v>
      </x:c>
      <x:c r="G4" s="39" t="str">
        <x:v>USB_C_Receptacle</x:v>
      </x:c>
      <x:c r="H4" s="39" t="str">
        <x:v>Connector_USB:USB_C_Receptacle_HRO_TYPE-C-31-M-12</x:v>
      </x:c>
      <x:c r="I4" s="39" t="str">
        <x:v>Yes</x:v>
      </x:c>
      <x:c r="J4" s="50" t="n">
        <x:v>0.25</x:v>
      </x:c>
      <x:c r="K4" s="50" t="n">
        <x:v>0.8</x:v>
      </x:c>
      <x:c r="L4" s="50" t="n">
        <x:f>B4*J4</x:f>
        <x:v>0.25</x:v>
      </x:c>
      <x:c r="M4" s="50" t="n">
        <x:f>B4*K4</x:f>
        <x:v>0.8</x:v>
      </x:c>
      <x:c r="N4" s="39" t="str">
        <x:v>LCSC/JLCPCB</x:v>
      </x:c>
      <x:c r="O4" s="39" t="str"/>
      <x:c r="P4" s="39" t="str">
        <x:v>CC1 and CC2 each need 5.1k pulldown to GND.</x:v>
      </x:c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R_CC1,R_CC2</x:v>
      </x:c>
      <x:c r="B5" s="39" t="n">
        <x:v>2</x:v>
      </x:c>
      <x:c r="C5" s="39" t="str">
        <x:v>USB</x:v>
      </x:c>
      <x:c r="D5" s="39" t="str">
        <x:v>USB-C CC pulldown resistors</x:v>
      </x:c>
      <x:c r="E5" s="39" t="str">
        <x:v>5.1k 1% 0603</x:v>
      </x:c>
      <x:c r="F5" s="39" t="str">
        <x:v>5.1k 0805</x:v>
      </x:c>
      <x:c r="G5" s="39" t="str">
        <x:v>R</x:v>
      </x:c>
      <x:c r="H5" s="39" t="str">
        <x:v>Resistor_SMD:R_0603_1608Metric</x:v>
      </x:c>
      <x:c r="I5" s="39" t="str">
        <x:v>Yes</x:v>
      </x:c>
      <x:c r="J5" s="50" t="n">
        <x:v>0.005</x:v>
      </x:c>
      <x:c r="K5" s="50" t="n">
        <x:v>0.03</x:v>
      </x:c>
      <x:c r="L5" s="50" t="n">
        <x:f>B5*J5</x:f>
        <x:v>0.01</x:v>
      </x:c>
      <x:c r="M5" s="50" t="n">
        <x:f>B5*K5</x:f>
        <x:v>0.06</x:v>
      </x:c>
      <x:c r="N5" s="39" t="str">
        <x:v>LCSC/JLCPCB</x:v>
      </x:c>
      <x:c r="O5" s="39" t="str"/>
      <x:c r="P5" s="39" t="str">
        <x:v>Needed so USB-C source provides 5V.</x:v>
      </x:c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D_USB</x:v>
      </x:c>
      <x:c r="B6" s="39" t="n">
        <x:v>1</x:v>
      </x:c>
      <x:c r="C6" s="39" t="str">
        <x:v>USB</x:v>
      </x:c>
      <x:c r="D6" s="39" t="str">
        <x:v>USB D+/D- ESD diode array</x:v>
      </x:c>
      <x:c r="E6" s="39" t="str">
        <x:v>USBLC6-2SC6 or TPD2EUSB30</x:v>
      </x:c>
      <x:c r="F6" s="39" t="str">
        <x:v>Generic USB ESD array</x:v>
      </x:c>
      <x:c r="G6" s="39" t="str">
        <x:v>ESD_Protection</x:v>
      </x:c>
      <x:c r="H6" s="39" t="str">
        <x:v>Package_TO_SOT_SMD:SOT-23-6</x:v>
      </x:c>
      <x:c r="I6" s="39" t="str">
        <x:v>Recommended</x:v>
      </x:c>
      <x:c r="J6" s="50" t="n">
        <x:v>0.15</x:v>
      </x:c>
      <x:c r="K6" s="50" t="n">
        <x:v>0.8</x:v>
      </x:c>
      <x:c r="L6" s="50" t="n">
        <x:f>B6*J6</x:f>
        <x:v>0.15</x:v>
      </x:c>
      <x:c r="M6" s="50" t="n">
        <x:f>B6*K6</x:f>
        <x:v>0.8</x:v>
      </x:c>
      <x:c r="N6" s="39" t="str">
        <x:v>DigiKey/LCSC</x:v>
      </x:c>
      <x:c r="O6" s="39" t="str"/>
      <x:c r="P6" s="39" t="str">
        <x:v>Place close to USB-C.</x:v>
      </x:c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U2</x:v>
      </x:c>
      <x:c r="B7" s="39" t="n">
        <x:v>1</x:v>
      </x:c>
      <x:c r="C7" s="39" t="str">
        <x:v>Programming</x:v>
      </x:c>
      <x:c r="D7" s="39" t="str">
        <x:v>USB-UART bridge for classic ESP32</x:v>
      </x:c>
      <x:c r="E7" s="39" t="str">
        <x:v>CH340C</x:v>
      </x:c>
      <x:c r="F7" s="39" t="str">
        <x:v>CP2102N if preferred</x:v>
      </x:c>
      <x:c r="G7" s="39" t="str">
        <x:v>CH340C</x:v>
      </x:c>
      <x:c r="H7" s="39" t="str">
        <x:v>Package_SO:SSOP-20_5.3x7.2mm_P0.65mm</x:v>
      </x:c>
      <x:c r="I7" s="39" t="str">
        <x:v>Yes</x:v>
      </x:c>
      <x:c r="J7" s="50" t="n">
        <x:v>0.3</x:v>
      </x:c>
      <x:c r="K7" s="50" t="n">
        <x:v>2.5</x:v>
      </x:c>
      <x:c r="L7" s="50" t="n">
        <x:f>B7*J7</x:f>
        <x:v>0.3</x:v>
      </x:c>
      <x:c r="M7" s="50" t="n">
        <x:f>B7*K7</x:f>
        <x:v>2.5</x:v>
      </x:c>
      <x:c r="N7" s="39" t="str">
        <x:v>LCSC/Mouser</x:v>
      </x:c>
      <x:c r="O7" s="39" t="str">
        <x:v>https://cdn.sparkfun.com/assets/5/0/a/8/5/CH340DS1.PDF</x:v>
      </x:c>
      <x:c r="P7" s="39" t="str">
        <x:v>Classic ESP32 needs UART flashing unless using external programmer.</x:v>
      </x:c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U3</x:v>
      </x:c>
      <x:c r="B8" s="39" t="n">
        <x:v>1</x:v>
      </x:c>
      <x:c r="C8" s="39" t="str">
        <x:v>Power</x:v>
      </x:c>
      <x:c r="D8" s="39" t="str">
        <x:v>Single-cell LiPo charger</x:v>
      </x:c>
      <x:c r="E8" s="39" t="str">
        <x:v>MCP73831T-2ACI/OT</x:v>
      </x:c>
      <x:c r="F8" s="39" t="str">
        <x:v>TP4056 module external, not ideal onboard</x:v>
      </x:c>
      <x:c r="G8" s="39" t="str">
        <x:v>MCP73831</x:v>
      </x:c>
      <x:c r="H8" s="39" t="str">
        <x:v>Package_TO_SOT_SMD:SOT-23-5</x:v>
      </x:c>
      <x:c r="I8" s="39" t="str">
        <x:v>Yes</x:v>
      </x:c>
      <x:c r="J8" s="50" t="n">
        <x:v>0.55</x:v>
      </x:c>
      <x:c r="K8" s="50" t="n">
        <x:v>1.2</x:v>
      </x:c>
      <x:c r="L8" s="50" t="n">
        <x:f>B8*J8</x:f>
        <x:v>0.55</x:v>
      </x:c>
      <x:c r="M8" s="50" t="n">
        <x:f>B8*K8</x:f>
        <x:v>1.2</x:v>
      </x:c>
      <x:c r="N8" s="39" t="str">
        <x:v>DigiKey/Mouser/LCSC</x:v>
      </x:c>
      <x:c r="O8" s="39" t="str">
        <x:v>https://www.microchip.com/en-us/product/mcp73831</x:v>
      </x:c>
      <x:c r="P8" s="39" t="str">
        <x:v>Simple charger. Use protected battery or add protection.</x:v>
      </x:c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R_PROG</x:v>
      </x:c>
      <x:c r="B9" s="39" t="n">
        <x:v>1</x:v>
      </x:c>
      <x:c r="C9" s="39" t="str">
        <x:v>Power</x:v>
      </x:c>
      <x:c r="D9" s="39" t="str">
        <x:v>MCP73831 charge current resistor</x:v>
      </x:c>
      <x:c r="E9" s="39" t="str">
        <x:v>3.3k for ~300mA or 2k for ~500mA</x:v>
      </x:c>
      <x:c r="F9" s="39" t="str">
        <x:v>Use 4.7k for lower current</x:v>
      </x:c>
      <x:c r="G9" s="39" t="str">
        <x:v>R</x:v>
      </x:c>
      <x:c r="H9" s="39" t="str">
        <x:v>Resistor_SMD:R_0603_1608Metric</x:v>
      </x:c>
      <x:c r="I9" s="39" t="str">
        <x:v>Yes</x:v>
      </x:c>
      <x:c r="J9" s="50" t="n">
        <x:v>0.005</x:v>
      </x:c>
      <x:c r="K9" s="50" t="n">
        <x:v>0.03</x:v>
      </x:c>
      <x:c r="L9" s="50" t="n">
        <x:f>B9*J9</x:f>
        <x:v>0.005</x:v>
      </x:c>
      <x:c r="M9" s="50" t="n">
        <x:f>B9*K9</x:f>
        <x:v>0.03</x:v>
      </x:c>
      <x:c r="N9" s="39" t="str">
        <x:v>LCSC/JLCPCB</x:v>
      </x:c>
      <x:c r="O9" s="39" t="str">
        <x:v>https://ww1.microchip.com/downloads/en/DeviceDoc/MCP73831-Family-Data-Sheet-DS20001984H.pdf</x:v>
      </x:c>
      <x:c r="P9" s="39" t="str">
        <x:v>Choose based on battery capacity and USB current budget.</x:v>
      </x:c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U4</x:v>
      </x:c>
      <x:c r="B10" s="39" t="n">
        <x:v>1</x:v>
      </x:c>
      <x:c r="C10" s="39" t="str">
        <x:v>Power</x:v>
      </x:c>
      <x:c r="D10" s="39" t="str">
        <x:v>3.3V regulator, 600mA class</x:v>
      </x:c>
      <x:c r="E10" s="39" t="str">
        <x:v>AP2112K-3.3TRG1</x:v>
      </x:c>
      <x:c r="F10" s="39" t="str">
        <x:v>ME6211 / XC6206 if current is sufficient</x:v>
      </x:c>
      <x:c r="G10" s="39" t="str">
        <x:v>AP2112</x:v>
      </x:c>
      <x:c r="H10" s="39" t="str">
        <x:v>Package_TO_SOT_SMD:SOT-23-5</x:v>
      </x:c>
      <x:c r="I10" s="39" t="str">
        <x:v>Yes</x:v>
      </x:c>
      <x:c r="J10" s="50" t="n">
        <x:v>0.25</x:v>
      </x:c>
      <x:c r="K10" s="50" t="n">
        <x:v>0.8</x:v>
      </x:c>
      <x:c r="L10" s="50" t="n">
        <x:f>B10*J10</x:f>
        <x:v>0.25</x:v>
      </x:c>
      <x:c r="M10" s="50" t="n">
        <x:f>B10*K10</x:f>
        <x:v>0.8</x:v>
      </x:c>
      <x:c r="N10" s="39" t="str">
        <x:v>DigiKey/Mouser/LCSC</x:v>
      </x:c>
      <x:c r="O10" s="39" t="str">
        <x:v>https://www.diodes.com/part/view/AP2112</x:v>
      </x:c>
      <x:c r="P10" s="39" t="str">
        <x:v>ESP32 Wi-Fi current bursts need stable 3.3V.</x:v>
      </x:c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str">
        <x:v>J_BAT</x:v>
      </x:c>
      <x:c r="B11" s="39" t="n">
        <x:v>1</x:v>
      </x:c>
      <x:c r="C11" s="39" t="str">
        <x:v>Power</x:v>
      </x:c>
      <x:c r="D11" s="39" t="str">
        <x:v>Battery connector</x:v>
      </x:c>
      <x:c r="E11" s="39" t="str">
        <x:v>JST-PH 2-pin vertical</x:v>
      </x:c>
      <x:c r="F11" s="39" t="str">
        <x:v>JST-PH right angle</x:v>
      </x:c>
      <x:c r="G11" s="39" t="str">
        <x:v>Conn_01x02</x:v>
      </x:c>
      <x:c r="H11" s="39" t="str">
        <x:v>Connector_JST:JST_PH_B2B-PH-K_1x02_P2.00mm_Vertical</x:v>
      </x:c>
      <x:c r="I11" s="39" t="str">
        <x:v>Yes</x:v>
      </x:c>
      <x:c r="J11" s="50" t="n">
        <x:v>0.2</x:v>
      </x:c>
      <x:c r="K11" s="50" t="n">
        <x:v>0.6</x:v>
      </x:c>
      <x:c r="L11" s="50" t="n">
        <x:f>B11*J11</x:f>
        <x:v>0.2</x:v>
      </x:c>
      <x:c r="M11" s="50" t="n">
        <x:f>B11*K11</x:f>
        <x:v>0.6</x:v>
      </x:c>
      <x:c r="N11" s="39" t="str">
        <x:v>DigiKey/LCSC</x:v>
      </x:c>
      <x:c r="O11" s="39" t="str"/>
      <x:c r="P11" s="39" t="str">
        <x:v>Use protected LiPo pack.</x:v>
      </x:c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str">
        <x:v>SW_PWR</x:v>
      </x:c>
      <x:c r="B12" s="39" t="n">
        <x:v>1</x:v>
      </x:c>
      <x:c r="C12" s="39" t="str">
        <x:v>Power</x:v>
      </x:c>
      <x:c r="D12" s="39" t="str">
        <x:v>Slide power switch</x:v>
      </x:c>
      <x:c r="E12" s="39" t="str">
        <x:v>SPDT/SPST slide switch</x:v>
      </x:c>
      <x:c r="F12" s="39" t="str">
        <x:v>Jumper pads for prototype</x:v>
      </x:c>
      <x:c r="G12" s="39" t="str">
        <x:v>SW_SPST</x:v>
      </x:c>
      <x:c r="H12" s="39" t="str">
        <x:v>Button_Switch_THT/SMD custom</x:v>
      </x:c>
      <x:c r="I12" s="39" t="str">
        <x:v>Recommended</x:v>
      </x:c>
      <x:c r="J12" s="50" t="n">
        <x:v>0.15</x:v>
      </x:c>
      <x:c r="K12" s="50" t="n">
        <x:v>0.8</x:v>
      </x:c>
      <x:c r="L12" s="50" t="n">
        <x:f>B12*J12</x:f>
        <x:v>0.15</x:v>
      </x:c>
      <x:c r="M12" s="50" t="n">
        <x:f>B12*K12</x:f>
        <x:v>0.8</x:v>
      </x:c>
      <x:c r="N12" s="39" t="str">
        <x:v>LCSC/AliExpress</x:v>
      </x:c>
      <x:c r="O12" s="39" t="str"/>
      <x:c r="P12" s="39" t="str">
        <x:v>Place between battery/system rail depending power design.</x:v>
      </x:c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C_IN,C_OUT</x:v>
      </x:c>
      <x:c r="B13" s="39" t="n">
        <x:v>2</x:v>
      </x:c>
      <x:c r="C13" s="39" t="str">
        <x:v>Power</x:v>
      </x:c>
      <x:c r="D13" s="39" t="str">
        <x:v>Regulator input/output capacitors</x:v>
      </x:c>
      <x:c r="E13" s="39" t="str">
        <x:v>10uF X5R/X7R 0603/0805</x:v>
      </x:c>
      <x:c r="F13" s="39" t="str">
        <x:v>22uF if unstable</x:v>
      </x:c>
      <x:c r="G13" s="39" t="str">
        <x:v>C</x:v>
      </x:c>
      <x:c r="H13" s="39" t="str">
        <x:v>Capacitor_SMD:C_0603_1608Metric</x:v>
      </x:c>
      <x:c r="I13" s="39" t="str">
        <x:v>Yes</x:v>
      </x:c>
      <x:c r="J13" s="50" t="n">
        <x:v>0.02</x:v>
      </x:c>
      <x:c r="K13" s="50" t="n">
        <x:v>0.1</x:v>
      </x:c>
      <x:c r="L13" s="50" t="n">
        <x:f>B13*J13</x:f>
        <x:v>0.04</x:v>
      </x:c>
      <x:c r="M13" s="50" t="n">
        <x:f>B13*K13</x:f>
        <x:v>0.2</x:v>
      </x:c>
      <x:c r="N13" s="39" t="str">
        <x:v>LCSC/JLCPCB</x:v>
      </x:c>
      <x:c r="O13" s="39" t="str"/>
      <x:c r="P13" s="39" t="str">
        <x:v>Place right next to regulator.</x:v>
      </x:c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str">
        <x:v>C_DECOUP</x:v>
      </x:c>
      <x:c r="B14" s="39" t="n">
        <x:v>12</x:v>
      </x:c>
      <x:c r="C14" s="39" t="str">
        <x:v>Power</x:v>
      </x:c>
      <x:c r="D14" s="39" t="str">
        <x:v>General 0.1uF decoupling capacitors</x:v>
      </x:c>
      <x:c r="E14" s="39" t="str">
        <x:v>100nF 0603</x:v>
      </x:c>
      <x:c r="F14" s="39" t="str">
        <x:v>100nF 0805</x:v>
      </x:c>
      <x:c r="G14" s="39" t="str">
        <x:v>C</x:v>
      </x:c>
      <x:c r="H14" s="39" t="str">
        <x:v>Capacitor_SMD:C_0603_1608Metric</x:v>
      </x:c>
      <x:c r="I14" s="39" t="str">
        <x:v>Yes</x:v>
      </x:c>
      <x:c r="J14" s="50" t="n">
        <x:v>0.005</x:v>
      </x:c>
      <x:c r="K14" s="50" t="n">
        <x:v>0.03</x:v>
      </x:c>
      <x:c r="L14" s="50" t="n">
        <x:f>B14*J14</x:f>
        <x:v>0.06</x:v>
      </x:c>
      <x:c r="M14" s="50" t="n">
        <x:f>B14*K14</x:f>
        <x:v>0.36</x:v>
      </x:c>
      <x:c r="N14" s="39" t="str">
        <x:v>LCSC/JLCPCB</x:v>
      </x:c>
      <x:c r="O14" s="39" t="str"/>
      <x:c r="P14" s="39" t="str">
        <x:v>One near each IC/module supply pin.</x:v>
      </x:c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15" hidden="0" customHeight="1">
      <x:c r="A15" s="39" t="str">
        <x:v>DS1</x:v>
      </x:c>
      <x:c r="B15" s="39" t="n">
        <x:v>1</x:v>
      </x:c>
      <x:c r="C15" s="39" t="str">
        <x:v>Display</x:v>
      </x:c>
      <x:c r="D15" s="39" t="str">
        <x:v>1.3 inch 128x64 I2C OLED module</x:v>
      </x:c>
      <x:c r="E15" s="39" t="str">
        <x:v>SH1106/SSD1306 I2C OLED</x:v>
      </x:c>
      <x:c r="F15" s="39" t="str">
        <x:v>0.96 inch SSD1306 OLED</x:v>
      </x:c>
      <x:c r="G15" s="39" t="str">
        <x:v>Conn_01x04</x:v>
      </x:c>
      <x:c r="H15" s="39" t="str">
        <x:v>Connector_PinHeader_2.54mm:PinHeader_1x04_P2.54mm_Vertical</x:v>
      </x:c>
      <x:c r="I15" s="39" t="str">
        <x:v>Yes</x:v>
      </x:c>
      <x:c r="J15" s="50" t="n">
        <x:v>2</x:v>
      </x:c>
      <x:c r="K15" s="50" t="n">
        <x:v>5</x:v>
      </x:c>
      <x:c r="L15" s="50" t="n">
        <x:f>B15*J15</x:f>
        <x:v>2</x:v>
      </x:c>
      <x:c r="M15" s="50" t="n">
        <x:f>B15*K15</x:f>
        <x:v>5</x:v>
      </x:c>
      <x:c r="N15" s="39" t="str">
        <x:v>AliExpress/Amazon</x:v>
      </x:c>
      <x:c r="O15" s="39" t="str">
        <x:v>https://cdn-shop.adafruit.com/datasheets/SSD1306.pdf</x:v>
      </x:c>
      <x:c r="P15" s="39" t="str">
        <x:v>Use 4-pin header: GND,VCC,SCL,SDA. Confirm order on your module.</x:v>
      </x:c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15" hidden="0" customHeight="1">
      <x:c r="A16" s="39" t="str">
        <x:v>SW1-SW5</x:v>
      </x:c>
      <x:c r="B16" s="39" t="n">
        <x:v>5</x:v>
      </x:c>
      <x:c r="C16" s="39" t="str">
        <x:v>Input</x:v>
      </x:c>
      <x:c r="D16" s="39" t="str">
        <x:v>Tactile buttons for navigation</x:v>
      </x:c>
      <x:c r="E16" s="39" t="str">
        <x:v>TL3342-style SMD tactile</x:v>
      </x:c>
      <x:c r="F16" s="39" t="str">
        <x:v>6x6mm THT buttons</x:v>
      </x:c>
      <x:c r="G16" s="39" t="str">
        <x:v>SW_Push</x:v>
      </x:c>
      <x:c r="H16" s="39" t="str">
        <x:v>Button_Switch_SMD:SW_SPST_TL3342</x:v>
      </x:c>
      <x:c r="I16" s="39" t="str">
        <x:v>Yes</x:v>
      </x:c>
      <x:c r="J16" s="50" t="n">
        <x:v>0.05</x:v>
      </x:c>
      <x:c r="K16" s="50" t="n">
        <x:v>0.2</x:v>
      </x:c>
      <x:c r="L16" s="50" t="n">
        <x:f>B16*J16</x:f>
        <x:v>0.25</x:v>
      </x:c>
      <x:c r="M16" s="50" t="n">
        <x:f>B16*K16</x:f>
        <x:v>1</x:v>
      </x:c>
      <x:c r="N16" s="39" t="str">
        <x:v>LCSC/DigiKey</x:v>
      </x:c>
      <x:c r="O16" s="39" t="str"/>
      <x:c r="P16" s="39" t="str">
        <x:v>Up/Down/Left/Right/OK.</x:v>
      </x:c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15" hidden="0" customHeight="1">
      <x:c r="A17" s="39" t="str">
        <x:v>R_BTN</x:v>
      </x:c>
      <x:c r="B17" s="39" t="n">
        <x:v>5</x:v>
      </x:c>
      <x:c r="C17" s="39" t="str">
        <x:v>Input</x:v>
      </x:c>
      <x:c r="D17" s="39" t="str">
        <x:v>External pull-up resistors for buttons</x:v>
      </x:c>
      <x:c r="E17" s="39" t="str">
        <x:v>10k 0603</x:v>
      </x:c>
      <x:c r="F17" s="39" t="str">
        <x:v>Use internal pullups except input-only pins</x:v>
      </x:c>
      <x:c r="G17" s="39" t="str">
        <x:v>R</x:v>
      </x:c>
      <x:c r="H17" s="39" t="str">
        <x:v>Resistor_SMD:R_0603_1608Metric</x:v>
      </x:c>
      <x:c r="I17" s="39" t="str">
        <x:v>Recommended</x:v>
      </x:c>
      <x:c r="J17" s="50" t="n">
        <x:v>0.005</x:v>
      </x:c>
      <x:c r="K17" s="50" t="n">
        <x:v>0.03</x:v>
      </x:c>
      <x:c r="L17" s="50" t="n">
        <x:f>B17*J17</x:f>
        <x:v>0.025</x:v>
      </x:c>
      <x:c r="M17" s="50" t="n">
        <x:f>B17*K17</x:f>
        <x:v>0.15</x:v>
      </x:c>
      <x:c r="N17" s="39" t="str">
        <x:v>LCSC/JLCPCB</x:v>
      </x:c>
      <x:c r="O17" s="39" t="str"/>
      <x:c r="P17" s="39" t="str">
        <x:v>Useful for GPIO34/35/36/39 because they do not have internal pullups.</x:v>
      </x:c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15" hidden="0" customHeight="1">
      <x:c r="A18" s="39" t="str">
        <x:v>R_BAT1,R_BAT2</x:v>
      </x:c>
      <x:c r="B18" s="39" t="n">
        <x:v>2</x:v>
      </x:c>
      <x:c r="C18" s="39" t="str">
        <x:v>Battery sense</x:v>
      </x:c>
      <x:c r="D18" s="39" t="str">
        <x:v>Battery voltage divider</x:v>
      </x:c>
      <x:c r="E18" s="39" t="str">
        <x:v>100k 1% 0603</x:v>
      </x:c>
      <x:c r="F18" s="39" t="str">
        <x:v>220k to reduce current</x:v>
      </x:c>
      <x:c r="G18" s="39" t="str">
        <x:v>R</x:v>
      </x:c>
      <x:c r="H18" s="39" t="str">
        <x:v>Resistor_SMD:R_0603_1608Metric</x:v>
      </x:c>
      <x:c r="I18" s="39" t="str">
        <x:v>Yes</x:v>
      </x:c>
      <x:c r="J18" s="50" t="n">
        <x:v>0.005</x:v>
      </x:c>
      <x:c r="K18" s="50" t="n">
        <x:v>0.03</x:v>
      </x:c>
      <x:c r="L18" s="50" t="n">
        <x:f>B18*J18</x:f>
        <x:v>0.01</x:v>
      </x:c>
      <x:c r="M18" s="50" t="n">
        <x:f>B18*K18</x:f>
        <x:v>0.06</x:v>
      </x:c>
      <x:c r="N18" s="39" t="str">
        <x:v>LCSC/JLCPCB</x:v>
      </x:c>
      <x:c r="O18" s="39" t="str"/>
      <x:c r="P18" s="39" t="str">
        <x:v>BAT+ → 100k → ADC → 100k → GND.</x:v>
      </x:c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 ht="15" hidden="0" customHeight="1">
      <x:c r="A19" s="39" t="str">
        <x:v>C_BAT</x:v>
      </x:c>
      <x:c r="B19" s="39" t="n">
        <x:v>1</x:v>
      </x:c>
      <x:c r="C19" s="39" t="str">
        <x:v>Battery sense</x:v>
      </x:c>
      <x:c r="D19" s="39" t="str">
        <x:v>ADC smoothing capacitor</x:v>
      </x:c>
      <x:c r="E19" s="39" t="str">
        <x:v>100nF 0603</x:v>
      </x:c>
      <x:c r="F19" s="39" t="str">
        <x:v>10nF optional</x:v>
      </x:c>
      <x:c r="G19" s="39" t="str">
        <x:v>C</x:v>
      </x:c>
      <x:c r="H19" s="39" t="str">
        <x:v>Capacitor_SMD:C_0603_1608Metric</x:v>
      </x:c>
      <x:c r="I19" s="39" t="str">
        <x:v>Recommended</x:v>
      </x:c>
      <x:c r="J19" s="50" t="n">
        <x:v>0.005</x:v>
      </x:c>
      <x:c r="K19" s="50" t="n">
        <x:v>0.03</x:v>
      </x:c>
      <x:c r="L19" s="50" t="n">
        <x:f>B19*J19</x:f>
        <x:v>0.005</x:v>
      </x:c>
      <x:c r="M19" s="50" t="n">
        <x:f>B19*K19</x:f>
        <x:v>0.03</x:v>
      </x:c>
      <x:c r="N19" s="39" t="str">
        <x:v>LCSC/JLCPCB</x:v>
      </x:c>
      <x:c r="O19" s="39" t="str"/>
      <x:c r="P19" s="39" t="str">
        <x:v>ADC pin to GND.</x:v>
      </x:c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 ht="15" hidden="0" customHeight="1">
      <x:c r="A20" s="39" t="str">
        <x:v>D_IR</x:v>
      </x:c>
      <x:c r="B20" s="39" t="n">
        <x:v>1</x:v>
      </x:c>
      <x:c r="C20" s="39" t="str">
        <x:v>IR</x:v>
      </x:c>
      <x:c r="D20" s="39" t="str">
        <x:v>940nm IR LED</x:v>
      </x:c>
      <x:c r="E20" s="39" t="str">
        <x:v>TSAL6200 or generic 940nm</x:v>
      </x:c>
      <x:c r="F20" s="39" t="str">
        <x:v>Generic IR LED module</x:v>
      </x:c>
      <x:c r="G20" s="39" t="str">
        <x:v>LED</x:v>
      </x:c>
      <x:c r="H20" s="39" t="str">
        <x:v>LED_THT:LED_D5.0mm or LED_SMD</x:v>
      </x:c>
      <x:c r="I20" s="39" t="str">
        <x:v>Optional</x:v>
      </x:c>
      <x:c r="J20" s="50" t="n">
        <x:v>0.1</x:v>
      </x:c>
      <x:c r="K20" s="50" t="n">
        <x:v>0.5</x:v>
      </x:c>
      <x:c r="L20" s="50" t="n">
        <x:f>B20*J20</x:f>
        <x:v>0.1</x:v>
      </x:c>
      <x:c r="M20" s="50" t="n">
        <x:f>B20*K20</x:f>
        <x:v>0.5</x:v>
      </x:c>
      <x:c r="N20" s="39" t="str">
        <x:v>DigiKey/AliExpress</x:v>
      </x:c>
      <x:c r="O20" s="39" t="str"/>
      <x:c r="P20" s="39" t="str">
        <x:v>Drive through MOSFET, not directly from ESP32 pin.</x:v>
      </x:c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 ht="15" hidden="0" customHeight="1">
      <x:c r="A21" s="39" t="str">
        <x:v>Q_IR</x:v>
      </x:c>
      <x:c r="B21" s="39" t="n">
        <x:v>1</x:v>
      </x:c>
      <x:c r="C21" s="39" t="str">
        <x:v>IR</x:v>
      </x:c>
      <x:c r="D21" s="39" t="str">
        <x:v>N-MOSFET for IR LED</x:v>
      </x:c>
      <x:c r="E21" s="39" t="str">
        <x:v>AO3400A / Si2302</x:v>
      </x:c>
      <x:c r="F21" s="39" t="str">
        <x:v>2N7002 for low current</x:v>
      </x:c>
      <x:c r="G21" s="39" t="str">
        <x:v>Q_NMOS_GSD</x:v>
      </x:c>
      <x:c r="H21" s="39" t="str">
        <x:v>Package_TO_SOT_SMD:SOT-23</x:v>
      </x:c>
      <x:c r="I21" s="39" t="str">
        <x:v>Optional</x:v>
      </x:c>
      <x:c r="J21" s="50" t="n">
        <x:v>0.05</x:v>
      </x:c>
      <x:c r="K21" s="50" t="n">
        <x:v>0.2</x:v>
      </x:c>
      <x:c r="L21" s="50" t="n">
        <x:f>B21*J21</x:f>
        <x:v>0.05</x:v>
      </x:c>
      <x:c r="M21" s="50" t="n">
        <x:f>B21*K21</x:f>
        <x:v>0.2</x:v>
      </x:c>
      <x:c r="N21" s="39" t="str">
        <x:v>LCSC/DigiKey</x:v>
      </x:c>
      <x:c r="O21" s="39" t="str"/>
      <x:c r="P21" s="39" t="str">
        <x:v>Logic-level gate.</x:v>
      </x:c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 ht="15" hidden="0" customHeight="1">
      <x:c r="A22" s="39" t="str">
        <x:v>U_IRRX</x:v>
      </x:c>
      <x:c r="B22" s="39" t="n">
        <x:v>1</x:v>
      </x:c>
      <x:c r="C22" s="39" t="str">
        <x:v>IR</x:v>
      </x:c>
      <x:c r="D22" s="39" t="str">
        <x:v>38kHz IR receiver</x:v>
      </x:c>
      <x:c r="E22" s="39" t="str">
        <x:v>TSOP38238 or VS1838B</x:v>
      </x:c>
      <x:c r="F22" s="39" t="str">
        <x:v>Generic IR receiver module</x:v>
      </x:c>
      <x:c r="G22" s="39" t="str">
        <x:v>IR_Receiver</x:v>
      </x:c>
      <x:c r="H22" s="39" t="str">
        <x:v>OptoDevice or 3-pin header</x:v>
      </x:c>
      <x:c r="I22" s="39" t="str">
        <x:v>Optional</x:v>
      </x:c>
      <x:c r="J22" s="50" t="n">
        <x:v>0.4</x:v>
      </x:c>
      <x:c r="K22" s="50" t="n">
        <x:v>1.2</x:v>
      </x:c>
      <x:c r="L22" s="50" t="n">
        <x:f>B22*J22</x:f>
        <x:v>0.4</x:v>
      </x:c>
      <x:c r="M22" s="50" t="n">
        <x:f>B22*K22</x:f>
        <x:v>1.2</x:v>
      </x:c>
      <x:c r="N22" s="39" t="str">
        <x:v>DigiKey/AliExpress</x:v>
      </x:c>
      <x:c r="O22" s="39" t="str"/>
      <x:c r="P22" s="39" t="str">
        <x:v>For legal remote decoding of your own devices.</x:v>
      </x:c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 ht="15" hidden="0" customHeight="1">
      <x:c r="A23" s="39" t="str">
        <x:v>J_SD</x:v>
      </x:c>
      <x:c r="B23" s="39" t="n">
        <x:v>1</x:v>
      </x:c>
      <x:c r="C23" s="39" t="str">
        <x:v>Storage</x:v>
      </x:c>
      <x:c r="D23" s="39" t="str">
        <x:v>microSD socket</x:v>
      </x:c>
      <x:c r="E23" s="39" t="str">
        <x:v>Generic push-push microSD</x:v>
      </x:c>
      <x:c r="F23" s="39" t="str">
        <x:v>External SPI SD module header</x:v>
      </x:c>
      <x:c r="G23" s="39" t="str">
        <x:v>Micro_SD_Card</x:v>
      </x:c>
      <x:c r="H23" s="39" t="str">
        <x:v>Connector_Card:microSD_HC_Hirose_DM3AT-SF-PEJM5</x:v>
      </x:c>
      <x:c r="I23" s="39" t="str">
        <x:v>Optional</x:v>
      </x:c>
      <x:c r="J23" s="50" t="n">
        <x:v>0.5</x:v>
      </x:c>
      <x:c r="K23" s="50" t="n">
        <x:v>1.8</x:v>
      </x:c>
      <x:c r="L23" s="50" t="n">
        <x:f>B23*J23</x:f>
        <x:v>0.5</x:v>
      </x:c>
      <x:c r="M23" s="50" t="n">
        <x:f>B23*K23</x:f>
        <x:v>1.8</x:v>
      </x:c>
      <x:c r="N23" s="39" t="str">
        <x:v>LCSC/DigiKey</x:v>
      </x:c>
      <x:c r="O23" s="39" t="str"/>
      <x:c r="P23" s="39" t="str">
        <x:v>SPI mode; add pullups on CS and maybe DAT lines if needed.</x:v>
      </x:c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 ht="15" hidden="0" customHeight="1">
      <x:c r="A24" s="39" t="str">
        <x:v>J_CC1101</x:v>
      </x:c>
      <x:c r="B24" s="39" t="n">
        <x:v>1</x:v>
      </x:c>
      <x:c r="C24" s="39" t="str">
        <x:v>Sub-GHz header</x:v>
      </x:c>
      <x:c r="D24" s="39" t="str">
        <x:v>Header for CC1101 module</x:v>
      </x:c>
      <x:c r="E24" s="39" t="str">
        <x:v>2x04 2.54mm CC1101 module header</x:v>
      </x:c>
      <x:c r="F24" s="39" t="str">
        <x:v>Do not populate for V1 if unsure</x:v>
      </x:c>
      <x:c r="G24" s="39" t="str">
        <x:v>Conn_02x04</x:v>
      </x:c>
      <x:c r="H24" s="39" t="str">
        <x:v>Connector_PinHeader_2.54mm:PinHeader_2x04_P2.54mm_Vertical</x:v>
      </x:c>
      <x:c r="I24" s="39" t="str">
        <x:v>Header only</x:v>
      </x:c>
      <x:c r="J24" s="50" t="n">
        <x:v>0.1</x:v>
      </x:c>
      <x:c r="K24" s="50" t="n">
        <x:v>0.4</x:v>
      </x:c>
      <x:c r="L24" s="50" t="n">
        <x:f>B24*J24</x:f>
        <x:v>0.1</x:v>
      </x:c>
      <x:c r="M24" s="50" t="n">
        <x:f>B24*K24</x:f>
        <x:v>0.4</x:v>
      </x:c>
      <x:c r="N24" s="39" t="str">
        <x:v>LCSC/AliExpress</x:v>
      </x:c>
      <x:c r="O24" s="39" t="str">
        <x:v>https://www.ti.com/lit/ds/symlink/cc1101.pdf</x:v>
      </x:c>
      <x:c r="P24" s="39" t="str">
        <x:v>Authorized lab use only; legal band/power rules apply.</x:v>
      </x:c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 ht="15" hidden="0" customHeight="1">
      <x:c r="A25" s="39" t="str">
        <x:v>J_PN532</x:v>
      </x:c>
      <x:c r="B25" s="39" t="n">
        <x:v>1</x:v>
      </x:c>
      <x:c r="C25" s="39" t="str">
        <x:v>NFC header</x:v>
      </x:c>
      <x:c r="D25" s="39" t="str">
        <x:v>Header for PN532 NFC module</x:v>
      </x:c>
      <x:c r="E25" s="39" t="str">
        <x:v>1x06/1x08 PN532 module header</x:v>
      </x:c>
      <x:c r="F25" s="39" t="str">
        <x:v>MFRC522 header</x:v>
      </x:c>
      <x:c r="G25" s="39" t="str">
        <x:v>Conn_01x06</x:v>
      </x:c>
      <x:c r="H25" s="39" t="str">
        <x:v>Connector_PinHeader_2.54mm:PinHeader_1x06_P2.54mm_Vertical</x:v>
      </x:c>
      <x:c r="I25" s="39" t="str">
        <x:v>Header only</x:v>
      </x:c>
      <x:c r="J25" s="50" t="n">
        <x:v>0.1</x:v>
      </x:c>
      <x:c r="K25" s="50" t="n">
        <x:v>0.4</x:v>
      </x:c>
      <x:c r="L25" s="50" t="n">
        <x:f>B25*J25</x:f>
        <x:v>0.1</x:v>
      </x:c>
      <x:c r="M25" s="50" t="n">
        <x:f>B25*K25</x:f>
        <x:v>0.4</x:v>
      </x:c>
      <x:c r="N25" s="39" t="str">
        <x:v>LCSC/AliExpress</x:v>
      </x:c>
      <x:c r="O25" s="39" t="str">
        <x:v>https://www.nxp.com/products/rfid-nfc/nfc-hf/nfc-readers/nfc-integrated-solution%3APN5321A3HN</x:v>
      </x:c>
      <x:c r="P25" s="39" t="str">
        <x:v>Use for your own tags only; do not clone access cards.</x:v>
      </x:c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 ht="15" hidden="0" customHeight="1">
      <x:c r="A26" s="39" t="str">
        <x:v>J_GPIO</x:v>
      </x:c>
      <x:c r="B26" s="39" t="n">
        <x:v>1</x:v>
      </x:c>
      <x:c r="C26" s="39" t="str">
        <x:v>Expansion</x:v>
      </x:c>
      <x:c r="D26" s="39" t="str">
        <x:v>GPIO/debug header</x:v>
      </x:c>
      <x:c r="E26" s="39" t="str">
        <x:v>1x08 or 2x05 2.54mm header</x:v>
      </x:c>
      <x:c r="F26" s="39" t="str">
        <x:v>Tag-Connect pads</x:v>
      </x:c>
      <x:c r="G26" s="39" t="str">
        <x:v>Conn_01x08</x:v>
      </x:c>
      <x:c r="H26" s="39" t="str">
        <x:v>Connector_PinHeader_2.54mm:PinHeader_1x08_P2.54mm_Vertical</x:v>
      </x:c>
      <x:c r="I26" s="39" t="str">
        <x:v>Recommended</x:v>
      </x:c>
      <x:c r="J26" s="50" t="n">
        <x:v>0.1</x:v>
      </x:c>
      <x:c r="K26" s="50" t="n">
        <x:v>0.5</x:v>
      </x:c>
      <x:c r="L26" s="50" t="n">
        <x:f>B26*J26</x:f>
        <x:v>0.1</x:v>
      </x:c>
      <x:c r="M26" s="50" t="n">
        <x:f>B26*K26</x:f>
        <x:v>0.5</x:v>
      </x:c>
      <x:c r="N26" s="39" t="str">
        <x:v>LCSC/AliExpress</x:v>
      </x:c>
      <x:c r="O26" s="39" t="str"/>
      <x:c r="P26" s="39" t="str">
        <x:v>Expose 3V3, GND, SDA/SCL, SPI, spare GPIO.</x:v>
      </x:c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 ht="15" hidden="0" customHeight="1">
      <x:c r="A27" s="39" t="str">
        <x:v>BZ1</x:v>
      </x:c>
      <x:c r="B27" s="39" t="n">
        <x:v>1</x:v>
      </x:c>
      <x:c r="C27" s="39" t="str">
        <x:v>Feedback</x:v>
      </x:c>
      <x:c r="D27" s="39" t="str">
        <x:v>Passive buzzer</x:v>
      </x:c>
      <x:c r="E27" s="39" t="str">
        <x:v>3.3V passive buzzer</x:v>
      </x:c>
      <x:c r="F27" s="39" t="str">
        <x:v>Status LED only</x:v>
      </x:c>
      <x:c r="G27" s="39" t="str">
        <x:v>Buzzer</x:v>
      </x:c>
      <x:c r="H27" s="39" t="str">
        <x:v>Buzzer_Beeper</x:v>
      </x:c>
      <x:c r="I27" s="39" t="str">
        <x:v>Optional</x:v>
      </x:c>
      <x:c r="J27" s="50" t="n">
        <x:v>0.2</x:v>
      </x:c>
      <x:c r="K27" s="50" t="n">
        <x:v>0.8</x:v>
      </x:c>
      <x:c r="L27" s="50" t="n">
        <x:f>B27*J27</x:f>
        <x:v>0.2</x:v>
      </x:c>
      <x:c r="M27" s="50" t="n">
        <x:f>B27*K27</x:f>
        <x:v>0.8</x:v>
      </x:c>
      <x:c r="N27" s="39" t="str">
        <x:v>LCSC/AliExpress</x:v>
      </x:c>
      <x:c r="O27" s="39" t="str"/>
      <x:c r="P27" s="39" t="str">
        <x:v>Optional UI feedback.</x:v>
      </x:c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 ht="15" hidden="0" customHeight="1">
      <x:c r="A28" s="39" t="str">
        <x:v>LED_STAT</x:v>
      </x:c>
      <x:c r="B28" s="39" t="n">
        <x:v>2</x:v>
      </x:c>
      <x:c r="C28" s="39" t="str">
        <x:v>Feedback</x:v>
      </x:c>
      <x:c r="D28" s="39" t="str">
        <x:v>Status LEDs</x:v>
      </x:c>
      <x:c r="E28" s="39" t="str">
        <x:v>0603 LED</x:v>
      </x:c>
      <x:c r="F28" s="39" t="str">
        <x:v>THT LED</x:v>
      </x:c>
      <x:c r="G28" s="39" t="str">
        <x:v>LED</x:v>
      </x:c>
      <x:c r="H28" s="39" t="str">
        <x:v>LED_SMD:LED_0603_1608Metric</x:v>
      </x:c>
      <x:c r="I28" s="39" t="str">
        <x:v>Recommended</x:v>
      </x:c>
      <x:c r="J28" s="50" t="n">
        <x:v>0.02</x:v>
      </x:c>
      <x:c r="K28" s="50" t="n">
        <x:v>0.1</x:v>
      </x:c>
      <x:c r="L28" s="50" t="n">
        <x:f>B28*J28</x:f>
        <x:v>0.04</x:v>
      </x:c>
      <x:c r="M28" s="50" t="n">
        <x:f>B28*K28</x:f>
        <x:v>0.2</x:v>
      </x:c>
      <x:c r="N28" s="39" t="str">
        <x:v>LCSC/JLCPCB</x:v>
      </x:c>
      <x:c r="O28" s="39" t="str"/>
      <x:c r="P28" s="39" t="str">
        <x:v>Power/charge/status.</x:v>
      </x:c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 ht="15" hidden="0" customHeight="1">
      <x:c r="A29" s="39" t="str">
        <x:v>R_LED</x:v>
      </x:c>
      <x:c r="B29" s="39" t="n">
        <x:v>2</x:v>
      </x:c>
      <x:c r="C29" s="39" t="str">
        <x:v>Feedback</x:v>
      </x:c>
      <x:c r="D29" s="39" t="str">
        <x:v>LED resistors</x:v>
      </x:c>
      <x:c r="E29" s="39" t="str">
        <x:v>1k 0603</x:v>
      </x:c>
      <x:c r="F29" s="39" t="str">
        <x:v>2.2k for dimmer</x:v>
      </x:c>
      <x:c r="G29" s="39" t="str">
        <x:v>R</x:v>
      </x:c>
      <x:c r="H29" s="39" t="str">
        <x:v>Resistor_SMD:R_0603_1608Metric</x:v>
      </x:c>
      <x:c r="I29" s="39" t="str">
        <x:v>Recommended</x:v>
      </x:c>
      <x:c r="J29" s="50" t="n">
        <x:v>0.005</x:v>
      </x:c>
      <x:c r="K29" s="50" t="n">
        <x:v>0.03</x:v>
      </x:c>
      <x:c r="L29" s="50" t="n">
        <x:f>B29*J29</x:f>
        <x:v>0.01</x:v>
      </x:c>
      <x:c r="M29" s="50" t="n">
        <x:f>B29*K29</x:f>
        <x:v>0.06</x:v>
      </x:c>
      <x:c r="N29" s="39" t="str">
        <x:v>LCSC/JLCPCB</x:v>
      </x:c>
      <x:c r="O29" s="39" t="str"/>
      <x:c r="P29" s="39" t="str">
        <x:v>Limit LED current.</x:v>
      </x:c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 ht="15" hidden="0" customHeight="1">
      <x:c r="A30" s="39" t="str">
        <x:v>PCB</x:v>
      </x:c>
      <x:c r="B30" s="39" t="n">
        <x:v>1</x:v>
      </x:c>
      <x:c r="C30" s="39" t="str">
        <x:v>PCB</x:v>
      </x:c>
      <x:c r="D30" s="39" t="str">
        <x:v>2-layer PCB 60x100mm</x:v>
      </x:c>
      <x:c r="E30" s="39" t="str">
        <x:v>FR4 1.6mm, 1oz copper</x:v>
      </x:c>
      <x:c r="F30" s="39" t="str">
        <x:v>4-layer upgraded</x:v>
      </x:c>
      <x:c r="G30" s="39" t="str">
        <x:v>N/A</x:v>
      </x:c>
      <x:c r="H30" s="39" t="str">
        <x:v>N/A</x:v>
      </x:c>
      <x:c r="I30" s="39" t="str">
        <x:v>Yes</x:v>
      </x:c>
      <x:c r="J30" s="50" t="n">
        <x:v>2</x:v>
      </x:c>
      <x:c r="K30" s="50" t="n">
        <x:v>8</x:v>
      </x:c>
      <x:c r="L30" s="50" t="n">
        <x:f>B30*J30</x:f>
        <x:v>2</x:v>
      </x:c>
      <x:c r="M30" s="50" t="n">
        <x:f>B30*K30</x:f>
        <x:v>8</x:v>
      </x:c>
      <x:c r="N30" s="39" t="str">
        <x:v>JLCPCB/PCBWay</x:v>
      </x:c>
      <x:c r="O30" s="39" t="str"/>
      <x:c r="P30" s="39" t="str">
        <x:v>Price depends on qty/finish/shipping.</x:v>
      </x:c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 ht="15" hidden="0" customHeight="1">
      <x:c r="A31" s="39" t="str">
        <x:v>ASSEMBLY</x:v>
      </x:c>
      <x:c r="B31" s="39" t="n">
        <x:v>1</x:v>
      </x:c>
      <x:c r="C31" s="39" t="str">
        <x:v>Assembly</x:v>
      </x:c>
      <x:c r="D31" s="39" t="str">
        <x:v>Basic SMT assembly estimate</x:v>
      </x:c>
      <x:c r="E31" s="39" t="str">
        <x:v>JLCPCB/PCBWay assembly</x:v>
      </x:c>
      <x:c r="F31" s="39" t="str">
        <x:v>Hand assemble everything</x:v>
      </x:c>
      <x:c r="G31" s="39" t="str">
        <x:v>N/A</x:v>
      </x:c>
      <x:c r="H31" s="39" t="str">
        <x:v>N/A</x:v>
      </x:c>
      <x:c r="I31" s="39" t="str">
        <x:v>Optional</x:v>
      </x:c>
      <x:c r="J31" s="50" t="n">
        <x:v>0</x:v>
      </x:c>
      <x:c r="K31" s="50" t="n">
        <x:v>15</x:v>
      </x:c>
      <x:c r="L31" s="50" t="n">
        <x:f>B31*J31</x:f>
        <x:v>0</x:v>
      </x:c>
      <x:c r="M31" s="50" t="n">
        <x:f>B31*K31</x:f>
        <x:v>15</x:v>
      </x:c>
      <x:c r="N31" s="39" t="str">
        <x:v>JLCPCB/PCBWay</x:v>
      </x:c>
      <x:c r="O31" s="39" t="str"/>
      <x:c r="P31" s="39" t="str">
        <x:v>Hand assembly lowers cost but increases labor.</x:v>
      </x:c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 ht="15" hidden="0" customHeight="1">
      <x:c r="A34" s="41" t="str">
        <x:v>BOM Summary</x:v>
      </x:c>
      <x:c r="B34" s="41" t="str"/>
      <x:c r="C34" s="41" t="str"/>
      <x:c r="D34" s="41" t="str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 ht="15" hidden="0" customHeight="1">
      <x:c r="A35" s="40" t="str">
        <x:v>Total low estimate</x:v>
      </x:c>
      <x:c r="B35" s="51" t="n">
        <x:f>SUM(L2:L31)</x:f>
        <x:v>12.954999999999998</x:v>
      </x:c>
      <x:c r="C35" s="40" t="str">
        <x:v>USD</x:v>
      </x:c>
      <x:c r="D35" s="40" t="str">
        <x:v>Assumes low-cost suppliers / optional modules not necessarily all populated.</x:v>
      </x:c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 ht="15" hidden="0" customHeight="1">
      <x:c r="A36" s="40" t="str">
        <x:v>Total high estimate</x:v>
      </x:c>
      <x:c r="B36" s="51" t="n">
        <x:f>SUM(M2:M31)</x:f>
        <x:v>52.44999999999999</x:v>
      </x:c>
      <x:c r="C36" s="40" t="str">
        <x:v>USD</x:v>
      </x:c>
      <x:c r="D36" s="40" t="str">
        <x:v>High estimate includes optional modules and assembly allowance.</x:v>
      </x:c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 ht="15" hidden="0" customHeight="1">
      <x:c r="A37" s="40" t="str">
        <x:v>Recommended target</x:v>
      </x:c>
      <x:c r="B37" s="51" t="n">
        <x:v>50</x:v>
      </x:c>
      <x:c r="C37" s="40" t="str">
        <x:v>USD</x:v>
      </x:c>
      <x:c r="D37" s="40" t="str">
        <x:v>Keep advanced modules as headers to stay under target.</x:v>
      </x:c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 ht="15" hidden="0" customHeight="1">
      <x:c r="A38" s="40" t="str">
        <x:v>Cost status</x:v>
      </x:c>
      <x:c r="B38" s="40" t="str">
        <x:f>IF(B36&lt;=B37,"Under target high estimate","Use tradeoffs to reduce cost")</x:f>
        <x:v>Use tradeoffs to reduce cost</x:v>
      </x:c>
      <x:c r="C38" s="40" t="str"/>
      <x:c r="D38" s="40" t="str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  <x:tableParts count="1">
    <x:tablePart xmlns:r="http://schemas.openxmlformats.org/officeDocument/2006/relationships" r:id="R3baa42c83ea24c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4" hidden="0" customWidth="1"/>
    <x:col min="5" max="5" width="18" hidden="0" customWidth="1"/>
    <x:col min="6" max="6" width="24" hidden="0" customWidth="1"/>
    <x:col min="7" max="7" width="48" hidden="0" customWidth="1"/>
  </x:cols>
  <x:sheetData>
    <x:row r="1" ht="15" hidden="0" customHeight="1">
      <x:c r="A1" s="47" t="str">
        <x:v>Peripheral</x:v>
      </x:c>
      <x:c r="B1" s="47" t="str">
        <x:v>Signal</x:v>
      </x:c>
      <x:c r="C1" s="47" t="str">
        <x:v>ESP32 GPIO / Pin</x:v>
      </x:c>
      <x:c r="D1" s="47" t="str">
        <x:v>Direction</x:v>
      </x:c>
      <x:c r="E1" s="47" t="str">
        <x:v>Net Label</x:v>
      </x:c>
      <x:c r="F1" s="47" t="str">
        <x:v>Pullup/Pulldown</x:v>
      </x:c>
      <x:c r="G1" s="47" t="str">
        <x:v>Notes</x:v>
      </x:c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OLED I2C</x:v>
      </x:c>
      <x:c r="B2" s="39" t="str">
        <x:v>SDA</x:v>
      </x:c>
      <x:c r="C2" s="39" t="str">
        <x:v>GPIO21</x:v>
      </x:c>
      <x:c r="D2" s="39" t="str">
        <x:v>Bidirectional</x:v>
      </x:c>
      <x:c r="E2" s="39" t="str">
        <x:v>SDA</x:v>
      </x:c>
      <x:c r="F2" s="39" t="str">
        <x:v>4.7k to 3V3</x:v>
      </x:c>
      <x:c r="G2" s="39" t="str">
        <x:v>Shared I2C with PN532 header.</x:v>
      </x:c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str">
        <x:v>OLED I2C</x:v>
      </x:c>
      <x:c r="B3" s="39" t="str">
        <x:v>SCL</x:v>
      </x:c>
      <x:c r="C3" s="39" t="str">
        <x:v>GPIO22</x:v>
      </x:c>
      <x:c r="D3" s="39" t="str">
        <x:v>Output</x:v>
      </x:c>
      <x:c r="E3" s="39" t="str">
        <x:v>SCL</x:v>
      </x:c>
      <x:c r="F3" s="39" t="str">
        <x:v>4.7k to 3V3</x:v>
      </x:c>
      <x:c r="G3" s="39" t="str">
        <x:v>Shared I2C clock.</x:v>
      </x:c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Buttons</x:v>
      </x:c>
      <x:c r="B4" s="39" t="str">
        <x:v>UP</x:v>
      </x:c>
      <x:c r="C4" s="39" t="str">
        <x:v>GPIO32</x:v>
      </x:c>
      <x:c r="D4" s="39" t="str">
        <x:v>Input</x:v>
      </x:c>
      <x:c r="E4" s="39" t="str">
        <x:v>BTN_UP</x:v>
      </x:c>
      <x:c r="F4" s="39" t="str">
        <x:v>10k pullup or internal</x:v>
      </x:c>
      <x:c r="G4" s="39" t="str">
        <x:v>Button to GND; active low.</x:v>
      </x:c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Buttons</x:v>
      </x:c>
      <x:c r="B5" s="39" t="str">
        <x:v>DOWN</x:v>
      </x:c>
      <x:c r="C5" s="39" t="str">
        <x:v>GPIO33</x:v>
      </x:c>
      <x:c r="D5" s="39" t="str">
        <x:v>Input</x:v>
      </x:c>
      <x:c r="E5" s="39" t="str">
        <x:v>BTN_DOWN</x:v>
      </x:c>
      <x:c r="F5" s="39" t="str">
        <x:v>10k pullup or internal</x:v>
      </x:c>
      <x:c r="G5" s="39" t="str">
        <x:v>Button to GND; active low.</x:v>
      </x:c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Buttons</x:v>
      </x:c>
      <x:c r="B6" s="39" t="str">
        <x:v>LEFT</x:v>
      </x:c>
      <x:c r="C6" s="39" t="str">
        <x:v>GPIO13</x:v>
      </x:c>
      <x:c r="D6" s="39" t="str">
        <x:v>Input</x:v>
      </x:c>
      <x:c r="E6" s="39" t="str">
        <x:v>BTN_LEFT</x:v>
      </x:c>
      <x:c r="F6" s="39" t="str">
        <x:v>10k pullup or internal</x:v>
      </x:c>
      <x:c r="G6" s="39" t="str">
        <x:v>Button to GND; active low.</x:v>
      </x:c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Buttons</x:v>
      </x:c>
      <x:c r="B7" s="39" t="str">
        <x:v>RIGHT</x:v>
      </x:c>
      <x:c r="C7" s="39" t="str">
        <x:v>GPIO14</x:v>
      </x:c>
      <x:c r="D7" s="39" t="str">
        <x:v>Input</x:v>
      </x:c>
      <x:c r="E7" s="39" t="str">
        <x:v>BTN_RIGHT</x:v>
      </x:c>
      <x:c r="F7" s="39" t="str">
        <x:v>10k pullup or internal</x:v>
      </x:c>
      <x:c r="G7" s="39" t="str">
        <x:v>Button to GND; active low.</x:v>
      </x:c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Buttons</x:v>
      </x:c>
      <x:c r="B8" s="39" t="str">
        <x:v>OK</x:v>
      </x:c>
      <x:c r="C8" s="39" t="str">
        <x:v>GPIO27</x:v>
      </x:c>
      <x:c r="D8" s="39" t="str">
        <x:v>Input</x:v>
      </x:c>
      <x:c r="E8" s="39" t="str">
        <x:v>BTN_OK</x:v>
      </x:c>
      <x:c r="F8" s="39" t="str">
        <x:v>10k pullup or internal</x:v>
      </x:c>
      <x:c r="G8" s="39" t="str">
        <x:v>Button to GND; active low.</x:v>
      </x:c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SPI Bus</x:v>
      </x:c>
      <x:c r="B9" s="39" t="str">
        <x:v>SCK</x:v>
      </x:c>
      <x:c r="C9" s="39" t="str">
        <x:v>GPIO18</x:v>
      </x:c>
      <x:c r="D9" s="39" t="str">
        <x:v>Output</x:v>
      </x:c>
      <x:c r="E9" s="39" t="str">
        <x:v>SPI_SCK</x:v>
      </x:c>
      <x:c r="F9" s="39" t="str">
        <x:v>None</x:v>
      </x:c>
      <x:c r="G9" s="39" t="str">
        <x:v>Shared by microSD and CC1101 header.</x:v>
      </x:c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SPI Bus</x:v>
      </x:c>
      <x:c r="B10" s="39" t="str">
        <x:v>MISO</x:v>
      </x:c>
      <x:c r="C10" s="39" t="str">
        <x:v>GPIO19</x:v>
      </x:c>
      <x:c r="D10" s="39" t="str">
        <x:v>Input</x:v>
      </x:c>
      <x:c r="E10" s="39" t="str">
        <x:v>SPI_MISO</x:v>
      </x:c>
      <x:c r="F10" s="39" t="str">
        <x:v>None</x:v>
      </x:c>
      <x:c r="G10" s="39" t="str">
        <x:v>Shared by microSD and CC1101 header.</x:v>
      </x:c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str">
        <x:v>SPI Bus</x:v>
      </x:c>
      <x:c r="B11" s="39" t="str">
        <x:v>MOSI</x:v>
      </x:c>
      <x:c r="C11" s="39" t="str">
        <x:v>GPIO23</x:v>
      </x:c>
      <x:c r="D11" s="39" t="str">
        <x:v>Output</x:v>
      </x:c>
      <x:c r="E11" s="39" t="str">
        <x:v>SPI_MOSI</x:v>
      </x:c>
      <x:c r="F11" s="39" t="str">
        <x:v>None</x:v>
      </x:c>
      <x:c r="G11" s="39" t="str">
        <x:v>Shared by microSD and CC1101 header.</x:v>
      </x:c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str">
        <x:v>microSD</x:v>
      </x:c>
      <x:c r="B12" s="39" t="str">
        <x:v>CS</x:v>
      </x:c>
      <x:c r="C12" s="39" t="str">
        <x:v>GPIO5</x:v>
      </x:c>
      <x:c r="D12" s="39" t="str">
        <x:v>Output</x:v>
      </x:c>
      <x:c r="E12" s="39" t="str">
        <x:v>SD_CS</x:v>
      </x:c>
      <x:c r="F12" s="39" t="str">
        <x:v>10k pullup</x:v>
      </x:c>
      <x:c r="G12" s="39" t="str">
        <x:v>Watch boot strapping. Test with your module.</x:v>
      </x:c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CC1101 Header</x:v>
      </x:c>
      <x:c r="B13" s="39" t="str">
        <x:v>CS</x:v>
      </x:c>
      <x:c r="C13" s="39" t="str">
        <x:v>GPIO15</x:v>
      </x:c>
      <x:c r="D13" s="39" t="str">
        <x:v>Output</x:v>
      </x:c>
      <x:c r="E13" s="39" t="str">
        <x:v>CC1101_CS</x:v>
      </x:c>
      <x:c r="F13" s="39" t="str">
        <x:v>10k pullup</x:v>
      </x:c>
      <x:c r="G13" s="39" t="str">
        <x:v>Authorized lab use only.</x:v>
      </x:c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str">
        <x:v>CC1101 Header</x:v>
      </x:c>
      <x:c r="B14" s="39" t="str">
        <x:v>GDO0</x:v>
      </x:c>
      <x:c r="C14" s="39" t="str">
        <x:v>GPIO4</x:v>
      </x:c>
      <x:c r="D14" s="39" t="str">
        <x:v>Input/IRQ</x:v>
      </x:c>
      <x:c r="E14" s="39" t="str">
        <x:v>CC1101_GDO0</x:v>
      </x:c>
      <x:c r="F14" s="39" t="str">
        <x:v>Optional pullup</x:v>
      </x:c>
      <x:c r="G14" s="39" t="str">
        <x:v>Interrupt line.</x:v>
      </x:c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15" hidden="0" customHeight="1">
      <x:c r="A15" s="39" t="str">
        <x:v>CC1101 Header</x:v>
      </x:c>
      <x:c r="B15" s="39" t="str">
        <x:v>GDO2</x:v>
      </x:c>
      <x:c r="C15" s="39" t="str">
        <x:v>GPIO16</x:v>
      </x:c>
      <x:c r="D15" s="39" t="str">
        <x:v>Input/IRQ</x:v>
      </x:c>
      <x:c r="E15" s="39" t="str">
        <x:v>CC1101_GDO2</x:v>
      </x:c>
      <x:c r="F15" s="39" t="str">
        <x:v>Optional pullup</x:v>
      </x:c>
      <x:c r="G15" s="39" t="str">
        <x:v>Optional second interrupt.</x:v>
      </x:c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15" hidden="0" customHeight="1">
      <x:c r="A16" s="39" t="str">
        <x:v>PN532 Header</x:v>
      </x:c>
      <x:c r="B16" s="39" t="str">
        <x:v>IRQ</x:v>
      </x:c>
      <x:c r="C16" s="39" t="str">
        <x:v>GPIO26</x:v>
      </x:c>
      <x:c r="D16" s="39" t="str">
        <x:v>Input</x:v>
      </x:c>
      <x:c r="E16" s="39" t="str">
        <x:v>PN532_IRQ</x:v>
      </x:c>
      <x:c r="F16" s="39" t="str">
        <x:v>Optional pullup</x:v>
      </x:c>
      <x:c r="G16" s="39" t="str">
        <x:v>Only needed if using IRQ mode.</x:v>
      </x:c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15" hidden="0" customHeight="1">
      <x:c r="A17" s="39" t="str">
        <x:v>PN532 Header</x:v>
      </x:c>
      <x:c r="B17" s="39" t="str">
        <x:v>RST</x:v>
      </x:c>
      <x:c r="C17" s="39" t="str">
        <x:v>GPIO17</x:v>
      </x:c>
      <x:c r="D17" s="39" t="str">
        <x:v>Output</x:v>
      </x:c>
      <x:c r="E17" s="39" t="str">
        <x:v>PN532_RST</x:v>
      </x:c>
      <x:c r="F17" s="39" t="str">
        <x:v>10k pullup optional</x:v>
      </x:c>
      <x:c r="G17" s="39" t="str">
        <x:v>Optional reset line.</x:v>
      </x:c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15" hidden="0" customHeight="1">
      <x:c r="A18" s="39" t="str">
        <x:v>IR TX</x:v>
      </x:c>
      <x:c r="B18" s="39" t="str">
        <x:v>IR LED drive</x:v>
      </x:c>
      <x:c r="C18" s="39" t="str">
        <x:v>GPIO25</x:v>
      </x:c>
      <x:c r="D18" s="39" t="str">
        <x:v>Output/PWM</x:v>
      </x:c>
      <x:c r="E18" s="39" t="str">
        <x:v>IR_TX</x:v>
      </x:c>
      <x:c r="F18" s="39" t="str">
        <x:v>Gate pulldown 100k</x:v>
      </x:c>
      <x:c r="G18" s="39" t="str">
        <x:v>Drive MOSFET gate.</x:v>
      </x:c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 ht="15" hidden="0" customHeight="1">
      <x:c r="A19" s="39" t="str">
        <x:v>IR RX</x:v>
      </x:c>
      <x:c r="B19" s="39" t="str">
        <x:v>Receiver output</x:v>
      </x:c>
      <x:c r="C19" s="39" t="str">
        <x:v>GPIO35</x:v>
      </x:c>
      <x:c r="D19" s="39" t="str">
        <x:v>Input</x:v>
      </x:c>
      <x:c r="E19" s="39" t="str">
        <x:v>IR_RX</x:v>
      </x:c>
      <x:c r="F19" s="39" t="str">
        <x:v>External if module requires</x:v>
      </x:c>
      <x:c r="G19" s="39" t="str">
        <x:v>GPIO35 is input-only, good for RX.</x:v>
      </x:c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 ht="15" hidden="0" customHeight="1">
      <x:c r="A20" s="39" t="str">
        <x:v>Battery Sense</x:v>
      </x:c>
      <x:c r="B20" s="39" t="str">
        <x:v>ADC divider</x:v>
      </x:c>
      <x:c r="C20" s="39" t="str">
        <x:v>GPIO36</x:v>
      </x:c>
      <x:c r="D20" s="39" t="str">
        <x:v>Input/ADC</x:v>
      </x:c>
      <x:c r="E20" s="39" t="str">
        <x:v>BAT_SENSE</x:v>
      </x:c>
      <x:c r="F20" s="39" t="str">
        <x:v>100k/100k divider</x:v>
      </x:c>
      <x:c r="G20" s="39" t="str">
        <x:v>GPIO36 input-only ADC.</x:v>
      </x:c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 ht="15" hidden="0" customHeight="1">
      <x:c r="A21" s="39" t="str">
        <x:v>Buzzer</x:v>
      </x:c>
      <x:c r="B21" s="39" t="str">
        <x:v>PWM</x:v>
      </x:c>
      <x:c r="C21" s="39" t="str">
        <x:v>GPIO2</x:v>
      </x:c>
      <x:c r="D21" s="39" t="str">
        <x:v>Output</x:v>
      </x:c>
      <x:c r="E21" s="39" t="str">
        <x:v>BUZZER</x:v>
      </x:c>
      <x:c r="F21" s="39" t="str">
        <x:v>Check strap behavior</x:v>
      </x:c>
      <x:c r="G21" s="39" t="str">
        <x:v>Optional; can use LED instead.</x:v>
      </x:c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 ht="15" hidden="0" customHeight="1">
      <x:c r="A22" s="39" t="str">
        <x:v>Programming</x:v>
      </x:c>
      <x:c r="B22" s="39" t="str">
        <x:v>UART TX0</x:v>
      </x:c>
      <x:c r="C22" s="39" t="str">
        <x:v>GPIO1</x:v>
      </x:c>
      <x:c r="D22" s="39" t="str">
        <x:v>Output</x:v>
      </x:c>
      <x:c r="E22" s="39" t="str">
        <x:v>U0TXD</x:v>
      </x:c>
      <x:c r="F22" s="39" t="str">
        <x:v>None</x:v>
      </x:c>
      <x:c r="G22" s="39" t="str">
        <x:v>To USB-UART RX.</x:v>
      </x:c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 ht="15" hidden="0" customHeight="1">
      <x:c r="A23" s="39" t="str">
        <x:v>Programming</x:v>
      </x:c>
      <x:c r="B23" s="39" t="str">
        <x:v>UART RX0</x:v>
      </x:c>
      <x:c r="C23" s="39" t="str">
        <x:v>GPIO3</x:v>
      </x:c>
      <x:c r="D23" s="39" t="str">
        <x:v>Input</x:v>
      </x:c>
      <x:c r="E23" s="39" t="str">
        <x:v>U0RXD</x:v>
      </x:c>
      <x:c r="F23" s="39" t="str">
        <x:v>None</x:v>
      </x:c>
      <x:c r="G23" s="39" t="str">
        <x:v>To USB-UART TX.</x:v>
      </x:c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 ht="15" hidden="0" customHeight="1">
      <x:c r="A24" s="39" t="str">
        <x:v>Boot</x:v>
      </x:c>
      <x:c r="B24" s="39" t="str">
        <x:v>BOOT</x:v>
      </x:c>
      <x:c r="C24" s="39" t="str">
        <x:v>GPIO0</x:v>
      </x:c>
      <x:c r="D24" s="39" t="str">
        <x:v>Input</x:v>
      </x:c>
      <x:c r="E24" s="39" t="str">
        <x:v>BOOT</x:v>
      </x:c>
      <x:c r="F24" s="39" t="str">
        <x:v>10k pullup</x:v>
      </x:c>
      <x:c r="G24" s="39" t="str">
        <x:v>Button to GND for flash mode.</x:v>
      </x:c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 ht="15" hidden="0" customHeight="1">
      <x:c r="A25" s="39" t="str">
        <x:v>Reset</x:v>
      </x:c>
      <x:c r="B25" s="39" t="str">
        <x:v>EN</x:v>
      </x:c>
      <x:c r="C25" s="39" t="str">
        <x:v>EN</x:v>
      </x:c>
      <x:c r="D25" s="39" t="str">
        <x:v>Input</x:v>
      </x:c>
      <x:c r="E25" s="39" t="str">
        <x:v>EN</x:v>
      </x:c>
      <x:c r="F25" s="39" t="str">
        <x:v>10k pullup + 100nF optional</x:v>
      </x:c>
      <x:c r="G25" s="39" t="str">
        <x:v>Reset button to GND.</x:v>
      </x:c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 ht="15" hidden="0" customHeight="1">
      <x:c r="A26" s="39" t="str">
        <x:v>Avoid</x:v>
      </x:c>
      <x:c r="B26" s="39" t="str">
        <x:v>Flash pins</x:v>
      </x:c>
      <x:c r="C26" s="39" t="str">
        <x:v>GPIO6-GPIO11</x:v>
      </x:c>
      <x:c r="D26" s="39" t="str">
        <x:v>N/A</x:v>
      </x:c>
      <x:c r="E26" s="39" t="str">
        <x:v>DO_NOT_USE</x:v>
      </x:c>
      <x:c r="F26" s="39" t="str">
        <x:v>N/A</x:v>
      </x:c>
      <x:c r="G26" s="39" t="str">
        <x:v>Usually connected to ESP32 internal flash.</x:v>
      </x:c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  <x:tableParts count="1">
    <x:tablePart xmlns:r="http://schemas.openxmlformats.org/officeDocument/2006/relationships" r:id="R310d3cbc670e49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6" hidden="0" customWidth="1"/>
    <x:col min="5" max="5" width="18" hidden="0" customWidth="1"/>
    <x:col min="6" max="6" width="54" hidden="0" customWidth="1"/>
  </x:cols>
  <x:sheetData>
    <x:row r="1" ht="15" hidden="0" customHeight="1">
      <x:c r="A1" s="47" t="str">
        <x:v>Net Label</x:v>
      </x:c>
      <x:c r="B1" s="47" t="str">
        <x:v>Connects To</x:v>
      </x:c>
      <x:c r="C1" s="47" t="str">
        <x:v>Electrical Type</x:v>
      </x:c>
      <x:c r="D1" s="47" t="str">
        <x:v>Routing Priority</x:v>
      </x:c>
      <x:c r="E1" s="47" t="str">
        <x:v>Trace Width</x:v>
      </x:c>
      <x:c r="F1" s="47" t="str">
        <x:v>Notes</x:v>
      </x:c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3V3</x:v>
      </x:c>
      <x:c r="B2" s="39" t="str">
        <x:v>ESP32, OLED, headers, sensors</x:v>
      </x:c>
      <x:c r="C2" s="39" t="str">
        <x:v>Power</x:v>
      </x:c>
      <x:c r="D2" s="39" t="str">
        <x:v>High</x:v>
      </x:c>
      <x:c r="E2" s="39" t="str">
        <x:v>0.50–1.00 mm</x:v>
      </x:c>
      <x:c r="F2" s="39" t="str">
        <x:v>Use wide traces; add bulk capacitance near ESP32.</x:v>
      </x:c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str">
        <x:v>GND</x:v>
      </x:c>
      <x:c r="B3" s="39" t="str">
        <x:v>All modules</x:v>
      </x:c>
      <x:c r="C3" s="39" t="str">
        <x:v>Ground</x:v>
      </x:c>
      <x:c r="D3" s="39" t="str">
        <x:v>Critical</x:v>
      </x:c>
      <x:c r="E3" s="39" t="str">
        <x:v>Copper zone</x:v>
      </x:c>
      <x:c r="F3" s="39" t="str">
        <x:v>Use ground pour both layers; add stitching vias.</x:v>
      </x:c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USB_5V</x:v>
      </x:c>
      <x:c r="B4" s="39" t="str">
        <x:v>USB-C VBUS to charger/regulator input</x:v>
      </x:c>
      <x:c r="C4" s="39" t="str">
        <x:v>Power</x:v>
      </x:c>
      <x:c r="D4" s="39" t="str">
        <x:v>High</x:v>
      </x:c>
      <x:c r="E4" s="39" t="str">
        <x:v>0.75–1.00 mm</x:v>
      </x:c>
      <x:c r="F4" s="39" t="str">
        <x:v>Route to fuse/charger. Keep away from antenna.</x:v>
      </x:c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BAT+</x:v>
      </x:c>
      <x:c r="B5" s="39" t="str">
        <x:v>JST battery to charger/system switch</x:v>
      </x:c>
      <x:c r="C5" s="39" t="str">
        <x:v>Power</x:v>
      </x:c>
      <x:c r="D5" s="39" t="str">
        <x:v>High</x:v>
      </x:c>
      <x:c r="E5" s="39" t="str">
        <x:v>0.75–1.00 mm</x:v>
      </x:c>
      <x:c r="F5" s="39" t="str">
        <x:v>Use protected LiPo. Add polarity markings.</x:v>
      </x:c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SDA/SCL</x:v>
      </x:c>
      <x:c r="B6" s="39" t="str">
        <x:v>ESP32, OLED, PN532 header, I2C header</x:v>
      </x:c>
      <x:c r="C6" s="39" t="str">
        <x:v>I2C</x:v>
      </x:c>
      <x:c r="D6" s="39" t="str">
        <x:v>Medium</x:v>
      </x:c>
      <x:c r="E6" s="39" t="str">
        <x:v>0.20–0.25 mm</x:v>
      </x:c>
      <x:c r="F6" s="39" t="str">
        <x:v>4.7k pullups to 3V3.</x:v>
      </x:c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SPI_SCK/MOSI/MISO</x:v>
      </x:c>
      <x:c r="B7" s="39" t="str">
        <x:v>ESP32, microSD, CC1101 header</x:v>
      </x:c>
      <x:c r="C7" s="39" t="str">
        <x:v>SPI</x:v>
      </x:c>
      <x:c r="D7" s="39" t="str">
        <x:v>Medium</x:v>
      </x:c>
      <x:c r="E7" s="39" t="str">
        <x:v>0.20–0.25 mm</x:v>
      </x:c>
      <x:c r="F7" s="39" t="str">
        <x:v>Keep reasonably short; avoid antenna area.</x:v>
      </x:c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SD_CS</x:v>
      </x:c>
      <x:c r="B8" s="39" t="str">
        <x:v>ESP32 to microSD CS</x:v>
      </x:c>
      <x:c r="C8" s="39" t="str">
        <x:v>GPIO</x:v>
      </x:c>
      <x:c r="D8" s="39" t="str">
        <x:v>Medium</x:v>
      </x:c>
      <x:c r="E8" s="39" t="str">
        <x:v>0.20–0.25 mm</x:v>
      </x:c>
      <x:c r="F8" s="39" t="str">
        <x:v>10k pullup.</x:v>
      </x:c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CC1101_CS</x:v>
      </x:c>
      <x:c r="B9" s="39" t="str">
        <x:v>ESP32 to CC1101 CS</x:v>
      </x:c>
      <x:c r="C9" s="39" t="str">
        <x:v>GPIO</x:v>
      </x:c>
      <x:c r="D9" s="39" t="str">
        <x:v>Medium</x:v>
      </x:c>
      <x:c r="E9" s="39" t="str">
        <x:v>0.20–0.25 mm</x:v>
      </x:c>
      <x:c r="F9" s="39" t="str">
        <x:v>10k pullup.</x:v>
      </x:c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IR_TX</x:v>
      </x:c>
      <x:c r="B10" s="39" t="str">
        <x:v>ESP32 to MOSFET gate</x:v>
      </x:c>
      <x:c r="C10" s="39" t="str">
        <x:v>PWM/GPIO</x:v>
      </x:c>
      <x:c r="D10" s="39" t="str">
        <x:v>Low</x:v>
      </x:c>
      <x:c r="E10" s="39" t="str">
        <x:v>0.20–0.25 mm</x:v>
      </x:c>
      <x:c r="F10" s="39" t="str">
        <x:v>100Ω gate resistor optional; 100k gate pulldown.</x:v>
      </x:c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str">
        <x:v>IR_LED_PWR</x:v>
      </x:c>
      <x:c r="B11" s="39" t="str">
        <x:v>Supply through resistor/LED/MOSFET</x:v>
      </x:c>
      <x:c r="C11" s="39" t="str">
        <x:v>Pulsed current</x:v>
      </x:c>
      <x:c r="D11" s="39" t="str">
        <x:v>Medium</x:v>
      </x:c>
      <x:c r="E11" s="39" t="str">
        <x:v>0.50 mm</x:v>
      </x:c>
      <x:c r="F11" s="39" t="str">
        <x:v>Do not power high-current LED directly from GPIO.</x:v>
      </x:c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str">
        <x:v>BAT_SENSE</x:v>
      </x:c>
      <x:c r="B12" s="39" t="str">
        <x:v>Battery divider to ADC</x:v>
      </x:c>
      <x:c r="C12" s="39" t="str">
        <x:v>Analog</x:v>
      </x:c>
      <x:c r="D12" s="39" t="str">
        <x:v>Medium</x:v>
      </x:c>
      <x:c r="E12" s="39" t="str">
        <x:v>0.20 mm</x:v>
      </x:c>
      <x:c r="F12" s="39" t="str">
        <x:v>Keep away from switching/noisy traces. Add 100nF cap.</x:v>
      </x:c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U0TXD/U0RXD</x:v>
      </x:c>
      <x:c r="B13" s="39" t="str">
        <x:v>ESP32 to USB-UART</x:v>
      </x:c>
      <x:c r="C13" s="39" t="str">
        <x:v>UART</x:v>
      </x:c>
      <x:c r="D13" s="39" t="str">
        <x:v>High</x:v>
      </x:c>
      <x:c r="E13" s="39" t="str">
        <x:v>0.20–0.25 mm</x:v>
      </x:c>
      <x:c r="F13" s="39" t="str">
        <x:v>Must be correct or flashing fails.</x:v>
      </x:c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str">
        <x:v>EN/BOOT</x:v>
      </x:c>
      <x:c r="B14" s="39" t="str">
        <x:v>Reset/boot buttons</x:v>
      </x:c>
      <x:c r="C14" s="39" t="str">
        <x:v>Control</x:v>
      </x:c>
      <x:c r="D14" s="39" t="str">
        <x:v>High</x:v>
      </x:c>
      <x:c r="E14" s="39" t="str">
        <x:v>0.20–0.25 mm</x:v>
      </x:c>
      <x:c r="F14" s="39" t="str">
        <x:v>Required for programming/debug.</x:v>
      </x:c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  <x:tableParts count="1">
    <x:tablePart xmlns:r="http://schemas.openxmlformats.org/officeDocument/2006/relationships" r:id="R19d39f9f38f6421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6" hidden="0" customWidth="1"/>
    <x:col min="4" max="4" width="46" hidden="0" customWidth="1"/>
    <x:col min="5" max="5" width="16" hidden="0" customWidth="1"/>
  </x:cols>
  <x:sheetData>
    <x:row r="1" ht="15" hidden="0" customHeight="1">
      <x:c r="A1" s="47" t="str">
        <x:v>Rule Area</x:v>
      </x:c>
      <x:c r="B1" s="47" t="str">
        <x:v>Recommended Rule</x:v>
      </x:c>
      <x:c r="C1" s="47" t="str">
        <x:v>KiCad Setting / Action</x:v>
      </x:c>
      <x:c r="D1" s="47" t="str">
        <x:v>Reason</x:v>
      </x:c>
      <x:c r="E1" s="47" t="str">
        <x:v>Status</x:v>
      </x:c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General signal traces</x:v>
      </x:c>
      <x:c r="B2" s="39" t="str">
        <x:v>0.20–0.25 mm width, 0.20 mm clearance</x:v>
      </x:c>
      <x:c r="C2" s="39" t="str">
        <x:v>Board Setup → Design Rules → Constraints</x:v>
      </x:c>
      <x:c r="D2" s="39" t="str">
        <x:v>Safe for cheap fabs and easy routing.</x:v>
      </x:c>
      <x:c r="E2" s="39" t="str">
        <x:v>Use</x:v>
      </x:c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str">
        <x:v>Power traces</x:v>
      </x:c>
      <x:c r="B3" s="39" t="str">
        <x:v>0.50–1.00 mm width</x:v>
      </x:c>
      <x:c r="C3" s="39" t="str">
        <x:v>Create custom net class for 3V3, USB_5V, BAT+</x:v>
      </x:c>
      <x:c r="D3" s="39" t="str">
        <x:v>ESP32 current bursts and battery current need lower resistance.</x:v>
      </x:c>
      <x:c r="E3" s="39" t="str">
        <x:v>Use</x:v>
      </x:c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Vias</x:v>
      </x:c>
      <x:c r="B4" s="39" t="str">
        <x:v>0.80 mm diameter, 0.40 mm drill</x:v>
      </x:c>
      <x:c r="C4" s="39" t="str">
        <x:v>Board Setup → Pre-defined Sizes</x:v>
      </x:c>
      <x:c r="D4" s="39" t="str">
        <x:v>Beginner-friendly, robust, easy to manufacture.</x:v>
      </x:c>
      <x:c r="E4" s="39" t="str">
        <x:v>Use</x:v>
      </x:c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Ground pour</x:v>
      </x:c>
      <x:c r="B5" s="39" t="str">
        <x:v>GND filled zone on F.Cu and B.Cu</x:v>
      </x:c>
      <x:c r="C5" s="39" t="str">
        <x:v>Add filled zone → Net GND → press B to refill</x:v>
      </x:c>
      <x:c r="D5" s="39" t="str">
        <x:v>Improves return paths and reduces noise.</x:v>
      </x:c>
      <x:c r="E5" s="39" t="str">
        <x:v>Use</x:v>
      </x:c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ESP32 antenna keepout</x:v>
      </x:c>
      <x:c r="B6" s="39" t="str">
        <x:v>No copper on any layer under antenna</x:v>
      </x:c>
      <x:c r="C6" s="39" t="str">
        <x:v>Draw keepout; exclude copper zones</x:v>
      </x:c>
      <x:c r="D6" s="39" t="str">
        <x:v>Protects Wi-Fi performance.</x:v>
      </x:c>
      <x:c r="E6" s="39" t="str">
        <x:v>Critical</x:v>
      </x:c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USB D+/D-</x:v>
      </x:c>
      <x:c r="B7" s="39" t="str">
        <x:v>Short, side-by-side, no sharp corners</x:v>
      </x:c>
      <x:c r="C7" s="39" t="str">
        <x:v>Route as pair manually; keep near connector</x:v>
      </x:c>
      <x:c r="D7" s="39" t="str">
        <x:v>USB full-speed is forgiving but still route cleanly.</x:v>
      </x:c>
      <x:c r="E7" s="39" t="str">
        <x:v>Use</x:v>
      </x:c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I2C</x:v>
      </x:c>
      <x:c r="B8" s="39" t="str">
        <x:v>Keep under ~100–150 mm; use 4.7k pullups</x:v>
      </x:c>
      <x:c r="C8" s="39" t="str">
        <x:v>Net labels SDA/SCL</x:v>
      </x:c>
      <x:c r="D8" s="39" t="str">
        <x:v>Reliable OLED/NFC communication.</x:v>
      </x:c>
      <x:c r="E8" s="39" t="str">
        <x:v>Use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SPI</x:v>
      </x:c>
      <x:c r="B9" s="39" t="str">
        <x:v>Keep compact; route SCK cleanly</x:v>
      </x:c>
      <x:c r="C9" s="39" t="str">
        <x:v>Place SD/CC1101 headers near ESP32 side</x:v>
      </x:c>
      <x:c r="D9" s="39" t="str">
        <x:v>Avoids signal integrity issues.</x:v>
      </x:c>
      <x:c r="E9" s="39" t="str">
        <x:v>Use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Battery sense</x:v>
      </x:c>
      <x:c r="B10" s="39" t="str">
        <x:v>Route away from IR LED/motor/power pulses</x:v>
      </x:c>
      <x:c r="C10" s="39" t="str">
        <x:v>Place divider near ADC or battery connector</x:v>
      </x:c>
      <x:c r="D10" s="39" t="str">
        <x:v>Cleaner voltage reading.</x:v>
      </x:c>
      <x:c r="E10" s="39" t="str">
        <x:v>Use</x:v>
      </x:c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str">
        <x:v>Decoupling</x:v>
      </x:c>
      <x:c r="B11" s="39" t="str">
        <x:v>100nF per IC/module + 10uF bulk near ESP32/regulator</x:v>
      </x:c>
      <x:c r="C11" s="39" t="str">
        <x:v>Place before routing</x:v>
      </x:c>
      <x:c r="D11" s="39" t="str">
        <x:v>Prevents brownouts/noise.</x:v>
      </x:c>
      <x:c r="E11" s="39" t="str">
        <x:v>Critical</x:v>
      </x:c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str">
        <x:v>Mounting holes</x:v>
      </x:c>
      <x:c r="B12" s="39" t="str">
        <x:v>M2 or M2.5 with keepout around holes</x:v>
      </x:c>
      <x:c r="C12" s="39" t="str">
        <x:v>Add mechanical mounting hole footprints</x:v>
      </x:c>
      <x:c r="D12" s="39" t="str">
        <x:v>Enclosure alignment.</x:v>
      </x:c>
      <x:c r="E12" s="39" t="str">
        <x:v>Recommended</x:v>
      </x:c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Test pads</x:v>
      </x:c>
      <x:c r="B13" s="39" t="str">
        <x:v>Add 3V3, GND, TX, RX, EN, BOOT, SDA, SCL</x:v>
      </x:c>
      <x:c r="C13" s="39" t="str">
        <x:v>Use TestPoint footprints</x:v>
      </x:c>
      <x:c r="D13" s="39" t="str">
        <x:v>Saves you during debugging.</x:v>
      </x:c>
      <x:c r="E13" s="39" t="str">
        <x:v>Critical</x:v>
      </x:c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  <x:tableParts count="1">
    <x:tablePart xmlns:r="http://schemas.openxmlformats.org/officeDocument/2006/relationships" r:id="R7c9d940d0c1a414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24" hidden="0" customWidth="1"/>
    <x:col min="5" max="5" width="58" hidden="0" customWidth="1"/>
    <x:col min="6" max="6" width="36" hidden="0" customWidth="1"/>
    <x:col min="7" max="7" width="12" hidden="0" customWidth="1"/>
    <x:col min="8" max="8" width="12" hidden="0" customWidth="1"/>
  </x:cols>
  <x:sheetData>
    <x:row r="1" ht="19.200000762939453" hidden="0" customHeight="1">
      <x:c r="A1" s="46" t="str">
        <x:v>PCB Floorplan — 60 mm × 100 mm Handheld Layout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47" t="str">
        <x:v>Zone</x:v>
      </x:c>
      <x:c r="B3" s="47" t="str">
        <x:v>Y range on 100mm board</x:v>
      </x:c>
      <x:c r="C3" s="47" t="str">
        <x:v>X range</x:v>
      </x:c>
      <x:c r="D3" s="47" t="str">
        <x:v>Place</x:v>
      </x:c>
      <x:c r="E3" s="47" t="str">
        <x:v>Important rules</x:v>
      </x:c>
      <x:c r="F3" s="47" t="str">
        <x:v>KiCad layer/help</x:v>
      </x:c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Top antenna zone</x:v>
      </x:c>
      <x:c r="B4" s="39" t="str">
        <x:v>0–20 mm</x:v>
      </x:c>
      <x:c r="C4" s="39" t="str">
        <x:v>0–60 mm</x:v>
      </x:c>
      <x:c r="D4" s="39" t="str">
        <x:v>ESP32 antenna area</x:v>
      </x:c>
      <x:c r="E4" s="39" t="str">
        <x:v>No copper/parts/battery/display metal under antenna; module antenna faces top edge.</x:v>
      </x:c>
      <x:c r="F4" s="39" t="str">
        <x:v>Edge.Cuts + keepout/user drawings</x:v>
      </x:c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ESP32 module body</x:v>
      </x:c>
      <x:c r="B5" s="39" t="str">
        <x:v>10–35 mm</x:v>
      </x:c>
      <x:c r="C5" s="39" t="str">
        <x:v>Center or slightly top</x:v>
      </x:c>
      <x:c r="D5" s="39" t="str">
        <x:v>ESP32-WROOM footprint</x:v>
      </x:c>
      <x:c r="E5" s="39" t="str">
        <x:v>Keep antenna at board edge. Add decoupling close to 3V3 pin.</x:v>
      </x:c>
      <x:c r="F5" s="39" t="str">
        <x:v>RF_Module:ESP32-WROOM-32</x:v>
      </x:c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Display zone</x:v>
      </x:c>
      <x:c r="B6" s="39" t="str">
        <x:v>35–55 mm</x:v>
      </x:c>
      <x:c r="C6" s="39" t="str">
        <x:v>Centered</x:v>
      </x:c>
      <x:c r="D6" s="39" t="str">
        <x:v>1.3 inch OLED</x:v>
      </x:c>
      <x:c r="E6" s="39" t="str">
        <x:v>Confirm pin order before final PCB. Keep below antenna zone.</x:v>
      </x:c>
      <x:c r="F6" s="39" t="str">
        <x:v>1x04 header / custom OLED footprint</x:v>
      </x:c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Button zone</x:v>
      </x:c>
      <x:c r="B7" s="39" t="str">
        <x:v>55–75 mm</x:v>
      </x:c>
      <x:c r="C7" s="39" t="str">
        <x:v>Centered</x:v>
      </x:c>
      <x:c r="D7" s="39" t="str">
        <x:v>D-pad + OK</x:v>
      </x:c>
      <x:c r="E7" s="39" t="str">
        <x:v>Comfortable spacing; labels on silkscreen.</x:v>
      </x:c>
      <x:c r="F7" s="39" t="str">
        <x:v>SW_SPST_TL3342</x:v>
      </x:c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Expansion zone</x:v>
      </x:c>
      <x:c r="B8" s="39" t="str">
        <x:v>70–88 mm</x:v>
      </x:c>
      <x:c r="C8" s="39" t="str">
        <x:v>Left/right edges</x:v>
      </x:c>
      <x:c r="D8" s="39" t="str">
        <x:v>CC1101, PN532, GPIO headers</x:v>
      </x:c>
      <x:c r="E8" s="39" t="str">
        <x:v>Headers first for V1; do not place RF module antenna near ESP32 antenna.</x:v>
      </x:c>
      <x:c r="F8" s="39" t="str">
        <x:v>2.54mm headers</x:v>
      </x:c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Power/USB zone</x:v>
      </x:c>
      <x:c r="B9" s="39" t="str">
        <x:v>88–100 mm</x:v>
      </x:c>
      <x:c r="C9" s="39" t="str">
        <x:v>Bottom edge</x:v>
      </x:c>
      <x:c r="D9" s="39" t="str">
        <x:v>USB-C, charger, regulator, battery connector</x:v>
      </x:c>
      <x:c r="E9" s="39" t="str">
        <x:v>USB-C exactly at edge; charger/regulator away from antenna.</x:v>
      </x:c>
      <x:c r="F9" s="39" t="str">
        <x:v>USB-C + SOT-23-5</x:v>
      </x:c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Back side</x:v>
      </x:c>
      <x:c r="B10" s="39" t="str">
        <x:v>25–85 mm</x:v>
      </x:c>
      <x:c r="C10" s="39" t="str">
        <x:v>Centered</x:v>
      </x:c>
      <x:c r="D10" s="39" t="str">
        <x:v>LiPo battery area</x:v>
      </x:c>
      <x:c r="E10" s="39" t="str">
        <x:v>No battery behind ESP32 antenna zone.</x:v>
      </x:c>
      <x:c r="F10" s="39" t="str">
        <x:v>Silk outline / keepout</x:v>
      </x:c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/>
      <x:c r="B11" s="39"/>
      <x:c r="C11" s="39"/>
      <x:c r="D11" s="39"/>
      <x:c r="E11" s="39"/>
      <x:c r="F11" s="39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41" t="str">
        <x:v>Text sketch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Y=0mm  ┌──────────────────────────────┐</x:v>
      </x:c>
      <x:c r="B13" s="39" t="str"/>
      <x:c r="C13" s="39" t="str"/>
      <x:c r="D13" s="39" t="str"/>
      <x:c r="E13" s="39" t="str"/>
      <x:c r="F13" s="39" t="str"/>
      <x:c r="G13" s="40" t="str"/>
      <x:c r="H13" s="40" t="str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str">
        <x:v>       │ ESP32 ANTENNA KEEPOUT       │</x:v>
      </x:c>
      <x:c r="B14" s="39" t="str"/>
      <x:c r="C14" s="39" t="str"/>
      <x:c r="D14" s="39" t="str"/>
      <x:c r="E14" s="39" t="str"/>
      <x:c r="F14" s="39" t="str"/>
      <x:c r="G14" s="40" t="str"/>
      <x:c r="H14" s="40" t="str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15" hidden="0" customHeight="1">
      <x:c r="A15" s="39" t="str">
        <x:v>       │ ESP32 MODULE BODY           │</x:v>
      </x:c>
      <x:c r="B15" s="39" t="str"/>
      <x:c r="C15" s="39" t="str"/>
      <x:c r="D15" s="39" t="str"/>
      <x:c r="E15" s="39" t="str"/>
      <x:c r="F15" s="39" t="str"/>
      <x:c r="G15" s="40" t="str"/>
      <x:c r="H15" s="40" t="str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15" hidden="0" customHeight="1">
      <x:c r="A16" s="39" t="str">
        <x:v>       │ OLED DISPLAY                │</x:v>
      </x:c>
      <x:c r="B16" s="39" t="str"/>
      <x:c r="C16" s="39" t="str"/>
      <x:c r="D16" s="39" t="str"/>
      <x:c r="E16" s="39" t="str"/>
      <x:c r="F16" s="39" t="str"/>
      <x:c r="G16" s="40" t="str"/>
      <x:c r="H16" s="40" t="str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15" hidden="0" customHeight="1">
      <x:c r="A17" s="39" t="str">
        <x:v>       │ BUTTONS / D-PAD             │</x:v>
      </x:c>
      <x:c r="B17" s="39" t="str"/>
      <x:c r="C17" s="39" t="str"/>
      <x:c r="D17" s="39" t="str"/>
      <x:c r="E17" s="39" t="str"/>
      <x:c r="F17" s="39" t="str"/>
      <x:c r="G17" s="40" t="str"/>
      <x:c r="H17" s="40" t="str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15" hidden="0" customHeight="1">
      <x:c r="A18" s="39" t="str">
        <x:v>       │ HEADERS / IR / OPTIONAL SD  │</x:v>
      </x:c>
      <x:c r="B18" s="39" t="str"/>
      <x:c r="C18" s="39" t="str"/>
      <x:c r="D18" s="39" t="str"/>
      <x:c r="E18" s="39" t="str"/>
      <x:c r="F18" s="39" t="str"/>
      <x:c r="G18" s="40" t="str"/>
      <x:c r="H18" s="40" t="str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 ht="15" hidden="0" customHeight="1">
      <x:c r="A19" s="39" t="str">
        <x:v>Y=100  │ USB-C + CHARGER + BAT CONN  │</x:v>
      </x:c>
      <x:c r="B19" s="39" t="str"/>
      <x:c r="C19" s="39" t="str"/>
      <x:c r="D19" s="39" t="str"/>
      <x:c r="E19" s="39" t="str"/>
      <x:c r="F19" s="39" t="str"/>
      <x:c r="G19" s="40" t="str"/>
      <x:c r="H19" s="40" t="str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 ht="15" hidden="0" customHeight="1">
      <x:c r="A20" s="39" t="str">
        <x:v>       └──────────────────────────────┘</x:v>
      </x:c>
      <x:c r="B20" s="39" t="str"/>
      <x:c r="C20" s="39" t="str"/>
      <x:c r="D20" s="39" t="str"/>
      <x:c r="E20" s="39" t="str"/>
      <x:c r="F20" s="39" t="str"/>
      <x:c r="G20" s="40" t="str"/>
      <x:c r="H20" s="40" t="str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6b49ad987b7413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48" hidden="0" customWidth="1"/>
    <x:col min="4" max="4" width="36" hidden="0" customWidth="1"/>
    <x:col min="5" max="5" width="12" hidden="0" customWidth="1"/>
  </x:cols>
  <x:sheetData>
    <x:row r="1" ht="15" hidden="0" customHeight="1">
      <x:c r="A1" s="47" t="str">
        <x:v>Block</x:v>
      </x:c>
      <x:c r="B1" s="47" t="str">
        <x:v>Checklist Item</x:v>
      </x:c>
      <x:c r="C1" s="47" t="str">
        <x:v>Expected Value / Connection</x:v>
      </x:c>
      <x:c r="D1" s="47" t="str">
        <x:v>Why</x:v>
      </x:c>
      <x:c r="E1" s="47" t="str">
        <x:v>Done?</x:v>
      </x:c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ESP32</x:v>
      </x:c>
      <x:c r="B2" s="39" t="str">
        <x:v>3V3 connected to module power</x:v>
      </x:c>
      <x:c r="C2" s="39" t="str">
        <x:v>3.3V rail, not 5V</x:v>
      </x:c>
      <x:c r="D2" s="39" t="str">
        <x:v>ESP32 is 3.3V only.</x:v>
      </x:c>
      <x:c r="E2" s="39" t="str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str">
        <x:v>ESP32</x:v>
      </x:c>
      <x:c r="B3" s="39" t="str">
        <x:v>EN pullup</x:v>
      </x:c>
      <x:c r="C3" s="39" t="str">
        <x:v>10k to 3V3 + reset button to GND</x:v>
      </x:c>
      <x:c r="D3" s="39" t="str">
        <x:v>Required for stable boot/reset.</x:v>
      </x:c>
      <x:c r="E3" s="39" t="str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ESP32</x:v>
      </x:c>
      <x:c r="B4" s="39" t="str">
        <x:v>GPIO0 boot circuit</x:v>
      </x:c>
      <x:c r="C4" s="39" t="str">
        <x:v>10k to 3V3 + BOOT button to GND</x:v>
      </x:c>
      <x:c r="D4" s="39" t="str">
        <x:v>Required for flashing.</x:v>
      </x:c>
      <x:c r="E4" s="39" t="str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ESP32</x:v>
      </x:c>
      <x:c r="B5" s="39" t="str">
        <x:v>Do not use GPIO6-GPIO11</x:v>
      </x:c>
      <x:c r="C5" s="39" t="str">
        <x:v>Mark as no connect/do not route</x:v>
      </x:c>
      <x:c r="D5" s="39" t="str">
        <x:v>Connected to flash on WROOM modules.</x:v>
      </x:c>
      <x:c r="E5" s="39" t="str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Power</x:v>
      </x:c>
      <x:c r="B6" s="39" t="str">
        <x:v>USB-C CC resistors</x:v>
      </x:c>
      <x:c r="C6" s="39" t="str">
        <x:v>CC1=5.1k to GND; CC2=5.1k to GND</x:v>
      </x:c>
      <x:c r="D6" s="39" t="str">
        <x:v>USB-C source detection.</x:v>
      </x:c>
      <x:c r="E6" s="39" t="str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Power</x:v>
      </x:c>
      <x:c r="B7" s="39" t="str">
        <x:v>LiPo charger wired correctly</x:v>
      </x:c>
      <x:c r="C7" s="39" t="str">
        <x:v>USB_5V to MCP73831 input; BAT to JST; STAT LED optional</x:v>
      </x:c>
      <x:c r="D7" s="39" t="str">
        <x:v>Safe charging.</x:v>
      </x:c>
      <x:c r="E7" s="39" t="str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Power</x:v>
      </x:c>
      <x:c r="B8" s="39" t="str">
        <x:v>3.3V regulator caps</x:v>
      </x:c>
      <x:c r="C8" s="39" t="str">
        <x:v>10uF input + 10uF output close to regulator</x:v>
      </x:c>
      <x:c r="D8" s="39" t="str">
        <x:v>Regulator stability.</x:v>
      </x:c>
      <x:c r="E8" s="39" t="str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Power</x:v>
      </x:c>
      <x:c r="B9" s="39" t="str">
        <x:v>ESP32 bulk cap</x:v>
      </x:c>
      <x:c r="C9" s="39" t="str">
        <x:v>10uF or 47uF near ESP32 3V3</x:v>
      </x:c>
      <x:c r="D9" s="39" t="str">
        <x:v>Prevents Wi-Fi brownout.</x:v>
      </x:c>
      <x:c r="E9" s="39" t="str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OLED</x:v>
      </x:c>
      <x:c r="B10" s="39" t="str">
        <x:v>I2C lines wired</x:v>
      </x:c>
      <x:c r="C10" s="39" t="str">
        <x:v>GPIO21 SDA, GPIO22 SCL, 4.7k pullups</x:v>
      </x:c>
      <x:c r="D10" s="39" t="str">
        <x:v>Display communication.</x:v>
      </x:c>
      <x:c r="E10" s="39" t="str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str">
        <x:v>Buttons</x:v>
      </x:c>
      <x:c r="B11" s="39" t="str">
        <x:v>Buttons active low</x:v>
      </x:c>
      <x:c r="C11" s="39" t="str">
        <x:v>GPIO to button to GND; pullup present</x:v>
      </x:c>
      <x:c r="D11" s="39" t="str">
        <x:v>Easy firmware logic.</x:v>
      </x:c>
      <x:c r="E11" s="39" t="str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str">
        <x:v>USB-UART</x:v>
      </x:c>
      <x:c r="B12" s="39" t="str">
        <x:v>TX/RX crossed</x:v>
      </x:c>
      <x:c r="C12" s="39" t="str">
        <x:v>USB-UART TX → ESP32 RX0; USB-UART RX → ESP32 TX0</x:v>
      </x:c>
      <x:c r="D12" s="39" t="str">
        <x:v>Otherwise flashing fails.</x:v>
      </x:c>
      <x:c r="E12" s="39" t="str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Battery sense</x:v>
      </x:c>
      <x:c r="B13" s="39" t="str">
        <x:v>ADC divider safe</x:v>
      </x:c>
      <x:c r="C13" s="39" t="str">
        <x:v>BAT+ → 100k → GPIO36 → 100k → GND</x:v>
      </x:c>
      <x:c r="D13" s="39" t="str">
        <x:v>Keeps ADC voltage under ESP32 max.</x:v>
      </x:c>
      <x:c r="E13" s="39" t="str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str">
        <x:v>IR</x:v>
      </x:c>
      <x:c r="B14" s="39" t="str">
        <x:v>IR LED uses MOSFET</x:v>
      </x:c>
      <x:c r="C14" s="39" t="str">
        <x:v>GPIO25 → MOSFET gate; LED current not from GPIO</x:v>
      </x:c>
      <x:c r="D14" s="39" t="str">
        <x:v>GPIO current protection.</x:v>
      </x:c>
      <x:c r="E14" s="39" t="str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15" hidden="0" customHeight="1">
      <x:c r="A15" s="39" t="str">
        <x:v>Headers</x:v>
      </x:c>
      <x:c r="B15" s="39" t="str">
        <x:v>CC1101 header has SPI + power</x:v>
      </x:c>
      <x:c r="C15" s="39" t="str">
        <x:v>3V3/GND/SCK/MISO/MOSI/CS/GDO0/GDO2</x:v>
      </x:c>
      <x:c r="D15" s="39" t="str">
        <x:v>Future RF module testing.</x:v>
      </x:c>
      <x:c r="E15" s="39" t="str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15" hidden="0" customHeight="1">
      <x:c r="A16" s="39" t="str">
        <x:v>Headers</x:v>
      </x:c>
      <x:c r="B16" s="39" t="str">
        <x:v>PN532 header has I2C + power</x:v>
      </x:c>
      <x:c r="C16" s="39" t="str">
        <x:v>3V3/GND/SDA/SCL/IRQ/RST</x:v>
      </x:c>
      <x:c r="D16" s="39" t="str">
        <x:v>Future NFC module testing.</x:v>
      </x:c>
      <x:c r="E16" s="39" t="str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15" hidden="0" customHeight="1">
      <x:c r="A17" s="39" t="str">
        <x:v>Test</x:v>
      </x:c>
      <x:c r="B17" s="39" t="str">
        <x:v>Add test pads</x:v>
      </x:c>
      <x:c r="C17" s="39" t="str">
        <x:v>3V3, GND, TX0, RX0, EN, BOOT, SDA, SCL</x:v>
      </x:c>
      <x:c r="D17" s="39" t="str">
        <x:v>Debugging after assembly.</x:v>
      </x:c>
      <x:c r="E17" s="39" t="str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conditionalFormatting sqref="E2:E25">
    <x:cfRule type="expression" dxfId="0" priority="1">
      <x:formula>$E2="Done"</x:formula>
    </x:cfRule>
  </x:conditionalFormatting>
  <x:dataValidations count="1">
    <x:dataValidation type="list" sqref="E2:E17">
      <x:formula1>",Done,Issue,N/A"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68f337d842444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52" hidden="0" customWidth="1"/>
    <x:col min="4" max="4" width="24" hidden="0" customWidth="1"/>
    <x:col min="5" max="5" width="44" hidden="0" customWidth="1"/>
  </x:cols>
  <x:sheetData>
    <x:row r="1" ht="15" hidden="0" customHeight="1">
      <x:c r="A1" s="47" t="str">
        <x:v>Step</x:v>
      </x:c>
      <x:c r="B1" s="47" t="str">
        <x:v>KiCad Action</x:v>
      </x:c>
      <x:c r="C1" s="47" t="str">
        <x:v>What to do</x:v>
      </x:c>
      <x:c r="D1" s="47" t="str">
        <x:v>Shortcut / Menu</x:v>
      </x:c>
      <x:c r="E1" s="47" t="str">
        <x:v>Common mistake</x:v>
      </x:c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n">
        <x:v>1</x:v>
      </x:c>
      <x:c r="B2" s="39" t="str">
        <x:v>Create project</x:v>
      </x:c>
      <x:c r="C2" s="39" t="str">
        <x:v>File → New Project → New Project. Name it ESP32_Handheld_V1.</x:v>
      </x:c>
      <x:c r="D2" s="39" t="str">
        <x:v>File menu</x:v>
      </x:c>
      <x:c r="E2" s="39" t="str">
        <x:v>Starting from random template and inheriting weird settings.</x:v>
      </x:c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n">
        <x:v>2</x:v>
      </x:c>
      <x:c r="B3" s="39" t="str">
        <x:v>Draw schematic</x:v>
      </x:c>
      <x:c r="C3" s="39" t="str">
        <x:v>Add ESP32, USB-C, charger, regulator, OLED header, buttons, and headers.</x:v>
      </x:c>
      <x:c r="D3" s="39" t="str">
        <x:v>A = Add symbol; W = Wire; L = Label</x:v>
      </x:c>
      <x:c r="E3" s="39" t="str">
        <x:v>Trying to route PCB before schematic is clean.</x:v>
      </x:c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n">
        <x:v>3</x:v>
      </x:c>
      <x:c r="B4" s="39" t="str">
        <x:v>Use labels</x:v>
      </x:c>
      <x:c r="C4" s="39" t="str">
        <x:v>Name nets: 3V3, GND, SDA, SCL, SPI_SCK, SPI_MISO, SPI_MOSI, etc.</x:v>
      </x:c>
      <x:c r="D4" s="39" t="str">
        <x:v>L = Label</x:v>
      </x:c>
      <x:c r="E4" s="39" t="str">
        <x:v>Drawing messy long wires everywhere.</x:v>
      </x:c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n">
        <x:v>4</x:v>
      </x:c>
      <x:c r="B5" s="39" t="str">
        <x:v>Assign footprints</x:v>
      </x:c>
      <x:c r="C5" s="39" t="str">
        <x:v>Tools → Assign Footprints. Match each symbol to physical package.</x:v>
      </x:c>
      <x:c r="D5" s="39" t="str">
        <x:v>Tools menu</x:v>
      </x:c>
      <x:c r="E5" s="39" t="str">
        <x:v>Forgetting footprints before PCB update.</x:v>
      </x:c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n">
        <x:v>5</x:v>
      </x:c>
      <x:c r="B6" s="39" t="str">
        <x:v>Update PCB</x:v>
      </x:c>
      <x:c r="C6" s="39" t="str">
        <x:v>Click Update PCB from Schematic.</x:v>
      </x:c>
      <x:c r="D6" s="39" t="str">
        <x:v>Top toolbar</x:v>
      </x:c>
      <x:c r="E6" s="39" t="str">
        <x:v>Ignoring errors about missing footprints.</x:v>
      </x:c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n">
        <x:v>6</x:v>
      </x:c>
      <x:c r="B7" s="39" t="str">
        <x:v>Draw board size</x:v>
      </x:c>
      <x:c r="C7" s="39" t="str">
        <x:v>Select Edge.Cuts and draw 60mm × 100mm rectangle.</x:v>
      </x:c>
      <x:c r="D7" s="39" t="str">
        <x:v>PCB Editor → Edge.Cuts layer</x:v>
      </x:c>
      <x:c r="E7" s="39" t="str">
        <x:v>Drawing outline on silkscreen instead of Edge.Cuts.</x:v>
      </x:c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n">
        <x:v>7</x:v>
      </x:c>
      <x:c r="B8" s="39" t="str">
        <x:v>Place ESP32</x:v>
      </x:c>
      <x:c r="C8" s="39" t="str">
        <x:v>Antenna at top edge, no copper under antenna.</x:v>
      </x:c>
      <x:c r="D8" s="39" t="str">
        <x:v>M = Move; R = Rotate</x:v>
      </x:c>
      <x:c r="E8" s="39" t="str">
        <x:v>Putting battery/display under antenna.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n">
        <x:v>8</x:v>
      </x:c>
      <x:c r="B9" s="39" t="str">
        <x:v>Place UI</x:v>
      </x:c>
      <x:c r="C9" s="39" t="str">
        <x:v>OLED under ESP32, buttons below OLED.</x:v>
      </x:c>
      <x:c r="D9" s="39" t="str">
        <x:v>M/R</x:v>
      </x:c>
      <x:c r="E9" s="39" t="str">
        <x:v>Buttons too close to board edge/enclosure.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n">
        <x:v>9</x:v>
      </x:c>
      <x:c r="B10" s="39" t="str">
        <x:v>Place power/USB</x:v>
      </x:c>
      <x:c r="C10" s="39" t="str">
        <x:v>USB-C bottom edge, charger/regulator nearby, battery connector accessible.</x:v>
      </x:c>
      <x:c r="D10" s="39" t="str">
        <x:v>M/R</x:v>
      </x:c>
      <x:c r="E10" s="39" t="str">
        <x:v>USB-C not aligned to board edge.</x:v>
      </x:c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n">
        <x:v>10</x:v>
      </x:c>
      <x:c r="B11" s="39" t="str">
        <x:v>Route power first</x:v>
      </x:c>
      <x:c r="C11" s="39" t="str">
        <x:v>Route USB_5V, BAT+, 3V3, GND. Use wider tracks.</x:v>
      </x:c>
      <x:c r="D11" s="39" t="str">
        <x:v>X = Route; V = Via</x:v>
      </x:c>
      <x:c r="E11" s="39" t="str">
        <x:v>Using skinny signal traces for power.</x:v>
      </x:c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n">
        <x:v>11</x:v>
      </x:c>
      <x:c r="B12" s="39" t="str">
        <x:v>Route signals</x:v>
      </x:c>
      <x:c r="C12" s="39" t="str">
        <x:v>Route I2C, SPI, UART, buttons, ADC.</x:v>
      </x:c>
      <x:c r="D12" s="39" t="str">
        <x:v>X/V</x:v>
      </x:c>
      <x:c r="E12" s="39" t="str">
        <x:v>Running traces through antenna keepout.</x:v>
      </x:c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n">
        <x:v>12</x:v>
      </x:c>
      <x:c r="B13" s="39" t="str">
        <x:v>Add ground zones</x:v>
      </x:c>
      <x:c r="C13" s="39" t="str">
        <x:v>Add GND filled zone on front and back; press B to refill.</x:v>
      </x:c>
      <x:c r="D13" s="39" t="str">
        <x:v>Add filled zone; B = refill</x:v>
      </x:c>
      <x:c r="E13" s="39" t="str">
        <x:v>Forgetting to refill copper zones.</x:v>
      </x:c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n">
        <x:v>13</x:v>
      </x:c>
      <x:c r="B14" s="39" t="str">
        <x:v>Run DRC/ERC</x:v>
      </x:c>
      <x:c r="C14" s="39" t="str">
        <x:v>Inspect → Electrical Rules Checker and Design Rules Checker.</x:v>
      </x:c>
      <x:c r="D14" s="39" t="str">
        <x:v>Inspect menu</x:v>
      </x:c>
      <x:c r="E14" s="39" t="str">
        <x:v>Ordering board with unresolved red errors.</x:v>
      </x:c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15" hidden="0" customHeight="1">
      <x:c r="A15" s="39" t="n">
        <x:v>14</x:v>
      </x:c>
      <x:c r="B15" s="39" t="str">
        <x:v>Export fabrication</x:v>
      </x:c>
      <x:c r="C15" s="39" t="str">
        <x:v>Export Gerbers, drill files, BOM, position file.</x:v>
      </x:c>
      <x:c r="D15" s="39" t="str">
        <x:v>File → Fabrication Outputs</x:v>
      </x:c>
      <x:c r="E15" s="39" t="str">
        <x:v>Forgetting drill file.</x:v>
      </x:c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  <x:tableParts count="1">
    <x:tablePart xmlns:r="http://schemas.openxmlformats.org/officeDocument/2006/relationships" r:id="R24269ac50047406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4" hidden="0" customWidth="1"/>
    <x:col min="4" max="4" width="54" hidden="0" customWidth="1"/>
  </x:cols>
  <x:sheetData>
    <x:row r="1" ht="15" hidden="0" customHeight="1">
      <x:c r="A1" s="47" t="str">
        <x:v>Output / Setting</x:v>
      </x:c>
      <x:c r="B1" s="47" t="str">
        <x:v>Recommended Value</x:v>
      </x:c>
      <x:c r="C1" s="47" t="str">
        <x:v>Where in KiCad</x:v>
      </x:c>
      <x:c r="D1" s="47" t="str">
        <x:v>Notes</x:v>
      </x:c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PCB size</x:v>
      </x:c>
      <x:c r="B2" s="39" t="str">
        <x:v>60 mm × 100 mm</x:v>
      </x:c>
      <x:c r="C2" s="39" t="str">
        <x:v>Edge.Cuts</x:v>
      </x:c>
      <x:c r="D2" s="39" t="str">
        <x:v>Must be closed outline.</x:v>
      </x:c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str">
        <x:v>Layers</x:v>
      </x:c>
      <x:c r="B3" s="39" t="str">
        <x:v>2-layer</x:v>
      </x:c>
      <x:c r="C3" s="39" t="str">
        <x:v>Board Setup</x:v>
      </x:c>
      <x:c r="D3" s="39" t="str">
        <x:v>Cheaper and enough for V1.</x:v>
      </x:c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Material</x:v>
      </x:c>
      <x:c r="B4" s="39" t="str">
        <x:v>FR4</x:v>
      </x:c>
      <x:c r="C4" s="39" t="str">
        <x:v>Fab order</x:v>
      </x:c>
      <x:c r="D4" s="39" t="str">
        <x:v>Standard.</x:v>
      </x:c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Thickness</x:v>
      </x:c>
      <x:c r="B5" s="39" t="str">
        <x:v>1.6 mm</x:v>
      </x:c>
      <x:c r="C5" s="39" t="str">
        <x:v>Fab order</x:v>
      </x:c>
      <x:c r="D5" s="39" t="str">
        <x:v>Standard handheld stiffness.</x:v>
      </x:c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Copper</x:v>
      </x:c>
      <x:c r="B6" s="39" t="str">
        <x:v>1 oz</x:v>
      </x:c>
      <x:c r="C6" s="39" t="str">
        <x:v>Fab order</x:v>
      </x:c>
      <x:c r="D6" s="39" t="str">
        <x:v>Standard.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Min trace/space</x:v>
      </x:c>
      <x:c r="B7" s="39" t="str">
        <x:v>0.20 / 0.20 mm or larger</x:v>
      </x:c>
      <x:c r="C7" s="39" t="str">
        <x:v>Board Setup</x:v>
      </x:c>
      <x:c r="D7" s="39" t="str">
        <x:v>Beginner-safe.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Min via</x:v>
      </x:c>
      <x:c r="B8" s="39" t="str">
        <x:v>0.8 mm / 0.4 mm drill</x:v>
      </x:c>
      <x:c r="C8" s="39" t="str">
        <x:v>Board Setup</x:v>
      </x:c>
      <x:c r="D8" s="39" t="str">
        <x:v>Beginner-safe.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Surface finish</x:v>
      </x:c>
      <x:c r="B9" s="39" t="str">
        <x:v>HASL or ENIG</x:v>
      </x:c>
      <x:c r="C9" s="39" t="str">
        <x:v>Fab order</x:v>
      </x:c>
      <x:c r="D9" s="39" t="str">
        <x:v>ENIG nicer, HASL cheaper.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Gerbers</x:v>
      </x:c>
      <x:c r="B10" s="39" t="str">
        <x:v>F.Cu, B.Cu, F.Mask, B.Mask, F.SilkS, B.SilkS, Edge.Cuts</x:v>
      </x:c>
      <x:c r="C10" s="39" t="str">
        <x:v>File → Fabrication Outputs → Gerbers</x:v>
      </x:c>
      <x:c r="D10" s="39" t="str">
        <x:v>Include all layers used.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str">
        <x:v>Drills</x:v>
      </x:c>
      <x:c r="B11" s="39" t="str">
        <x:v>Excellon drill file</x:v>
      </x:c>
      <x:c r="C11" s="39" t="str">
        <x:v>File → Fabrication Outputs → Drill Files</x:v>
      </x:c>
      <x:c r="D11" s="39" t="str">
        <x:v>Required for holes/vias.</x:v>
      </x:c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str">
        <x:v>Pick and place</x:v>
      </x:c>
      <x:c r="B12" s="39" t="str">
        <x:v>.pos / CPL file</x:v>
      </x:c>
      <x:c r="C12" s="39" t="str">
        <x:v>File → Fabrication Outputs → Component Placement</x:v>
      </x:c>
      <x:c r="D12" s="39" t="str">
        <x:v>Needed for assembly.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BOM</x:v>
      </x:c>
      <x:c r="B13" s="39" t="str">
        <x:v>CSV with designator, value, footprint, supplier PN</x:v>
      </x:c>
      <x:c r="C13" s="39" t="str">
        <x:v>KiCad BOM plugin / manual</x:v>
      </x:c>
      <x:c r="D13" s="39" t="str">
        <x:v>Use BOM_V1 sheet as planning source.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str">
        <x:v>Fiducials</x:v>
      </x:c>
      <x:c r="B14" s="39" t="str">
        <x:v>3 global fiducials</x:v>
      </x:c>
      <x:c r="C14" s="39" t="str">
        <x:v>Add footprints</x:v>
      </x:c>
      <x:c r="D14" s="39" t="str">
        <x:v>Needed for assembly machines.</x:v>
      </x:c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15" hidden="0" customHeight="1">
      <x:c r="A15" s="39" t="str">
        <x:v>Panelization</x:v>
      </x:c>
      <x:c r="B15" s="39" t="str">
        <x:v>Not needed for first 5 boards; optional at 10–100 units</x:v>
      </x:c>
      <x:c r="C15" s="39" t="str">
        <x:v>Fab tool</x:v>
      </x:c>
      <x:c r="D15" s="39" t="str">
        <x:v>Mouse bites or V-score if rectangular.</x:v>
      </x:c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15" hidden="0" customHeight="1">
      <x:c r="A16" s="39" t="str">
        <x:v>Silkscreen</x:v>
      </x:c>
      <x:c r="B16" s="39" t="str">
        <x:v>Mark USB, battery polarity, BOOT, RESET, headers, pin 1</x:v>
      </x:c>
      <x:c r="C16" s="39" t="str">
        <x:v>F.SilkS/B.SilkS</x:v>
      </x:c>
      <x:c r="D16" s="39" t="str">
        <x:v>Helps assembly/debug.</x:v>
      </x:c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  <x:tableParts count="1">
    <x:tablePart xmlns:r="http://schemas.openxmlformats.org/officeDocument/2006/relationships" r:id="Re4a49b63a05343c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40" hidden="0" customWidth="1"/>
    <x:col min="5" max="5" width="12" hidden="0" customWidth="1"/>
    <x:col min="6" max="6" width="44" hidden="0" customWidth="1"/>
  </x:cols>
  <x:sheetData>
    <x:row r="1" ht="15" hidden="0" customHeight="1">
      <x:c r="A1" s="47" t="str">
        <x:v>Stage</x:v>
      </x:c>
      <x:c r="B1" s="47" t="str">
        <x:v>Test</x:v>
      </x:c>
      <x:c r="C1" s="47" t="str">
        <x:v>Method</x:v>
      </x:c>
      <x:c r="D1" s="47" t="str">
        <x:v>Expected Result</x:v>
      </x:c>
      <x:c r="E1" s="47" t="str">
        <x:v>Pass/Fail</x:v>
      </x:c>
      <x:c r="F1" s="47" t="str">
        <x:v>Notes</x:v>
      </x:c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Bare PCB</x:v>
      </x:c>
      <x:c r="B2" s="39" t="str">
        <x:v>Visual inspection</x:v>
      </x:c>
      <x:c r="C2" s="39" t="str">
        <x:v>Inspect under light/magnification</x:v>
      </x:c>
      <x:c r="D2" s="39" t="str">
        <x:v>No broken traces, no damaged pads</x:v>
      </x:c>
      <x:c r="E2" s="39" t="str"/>
      <x:c r="F2" s="39" t="str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str">
        <x:v>Power only</x:v>
      </x:c>
      <x:c r="B3" s="39" t="str">
        <x:v>Short check</x:v>
      </x:c>
      <x:c r="C3" s="39" t="str">
        <x:v>Multimeter resistance between 3V3 and GND before power</x:v>
      </x:c>
      <x:c r="D3" s="39" t="str">
        <x:v>No dead short</x:v>
      </x:c>
      <x:c r="E3" s="39" t="str"/>
      <x:c r="F3" s="39" t="str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Power only</x:v>
      </x:c>
      <x:c r="B4" s="39" t="str">
        <x:v>USB 5V</x:v>
      </x:c>
      <x:c r="C4" s="39" t="str">
        <x:v>Plug USB-C through current-limited supply if possible</x:v>
      </x:c>
      <x:c r="D4" s="39" t="str">
        <x:v>5V present after fuse/USB input</x:v>
      </x:c>
      <x:c r="E4" s="39" t="str"/>
      <x:c r="F4" s="39" t="str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Power only</x:v>
      </x:c>
      <x:c r="B5" s="39" t="str">
        <x:v>3.3V rail</x:v>
      </x:c>
      <x:c r="C5" s="39" t="str">
        <x:v>Measure regulator output</x:v>
      </x:c>
      <x:c r="D5" s="39" t="str">
        <x:v>3.3V ± about 5%</x:v>
      </x:c>
      <x:c r="E5" s="39" t="str"/>
      <x:c r="F5" s="39" t="str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Charger</x:v>
      </x:c>
      <x:c r="B6" s="39" t="str">
        <x:v>LiPo charge</x:v>
      </x:c>
      <x:c r="C6" s="39" t="str">
        <x:v>Connect protected LiPo, plug USB</x:v>
      </x:c>
      <x:c r="D6" s="39" t="str">
        <x:v>Charge LED/status behaves; battery voltage rises safely</x:v>
      </x:c>
      <x:c r="E6" s="39" t="str"/>
      <x:c r="F6" s="39" t="str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ESP32</x:v>
      </x:c>
      <x:c r="B7" s="39" t="str">
        <x:v>Flashing</x:v>
      </x:c>
      <x:c r="C7" s="39" t="str">
        <x:v>Hold BOOT, tap RESET, flash test sketch</x:v>
      </x:c>
      <x:c r="D7" s="39" t="str">
        <x:v>Upload succeeds</x:v>
      </x:c>
      <x:c r="E7" s="39" t="str"/>
      <x:c r="F7" s="39" t="str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ESP32</x:v>
      </x:c>
      <x:c r="B8" s="39" t="str">
        <x:v>Serial boot log</x:v>
      </x:c>
      <x:c r="C8" s="39" t="str">
        <x:v>Open serial monitor 115200</x:v>
      </x:c>
      <x:c r="D8" s="39" t="str">
        <x:v>Boot messages visible</x:v>
      </x:c>
      <x:c r="E8" s="39" t="str"/>
      <x:c r="F8" s="39" t="str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OLED</x:v>
      </x:c>
      <x:c r="B9" s="39" t="str">
        <x:v>I2C scan</x:v>
      </x:c>
      <x:c r="C9" s="39" t="str">
        <x:v>Run I2C scanner on GPIO21/22</x:v>
      </x:c>
      <x:c r="D9" s="39" t="str">
        <x:v>OLED address 0x3C/0x3D found</x:v>
      </x:c>
      <x:c r="E9" s="39" t="str"/>
      <x:c r="F9" s="39" t="str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OLED</x:v>
      </x:c>
      <x:c r="B10" s="39" t="str">
        <x:v>Display test</x:v>
      </x:c>
      <x:c r="C10" s="39" t="str">
        <x:v>Print BOOT OK/menu</x:v>
      </x:c>
      <x:c r="D10" s="39" t="str">
        <x:v>Text visible</x:v>
      </x:c>
      <x:c r="E10" s="39" t="str"/>
      <x:c r="F10" s="39" t="str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str">
        <x:v>Buttons</x:v>
      </x:c>
      <x:c r="B11" s="39" t="str">
        <x:v>Input test</x:v>
      </x:c>
      <x:c r="C11" s="39" t="str">
        <x:v>Print button state to serial/OLED</x:v>
      </x:c>
      <x:c r="D11" s="39" t="str">
        <x:v>Idle high, pressed low</x:v>
      </x:c>
      <x:c r="E11" s="39" t="str"/>
      <x:c r="F11" s="39" t="str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str">
        <x:v>Battery sense</x:v>
      </x:c>
      <x:c r="B12" s="39" t="str">
        <x:v>ADC test</x:v>
      </x:c>
      <x:c r="C12" s="39" t="str">
        <x:v>Read GPIO36 and calculate battery voltage</x:v>
      </x:c>
      <x:c r="D12" s="39" t="str">
        <x:v>Reasonable LiPo voltage 3.0–4.2V</x:v>
      </x:c>
      <x:c r="E12" s="39" t="str"/>
      <x:c r="F12" s="39" t="str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15" hidden="0" customHeight="1">
      <x:c r="A13" s="39" t="str">
        <x:v>IR RX</x:v>
      </x:c>
      <x:c r="B13" s="39" t="str">
        <x:v>Remote decode</x:v>
      </x:c>
      <x:c r="C13" s="39" t="str">
        <x:v>Point own TV remote at IR receiver</x:v>
      </x:c>
      <x:c r="D13" s="39" t="str">
        <x:v>Pulses/protocol detected</x:v>
      </x:c>
      <x:c r="E13" s="39" t="str"/>
      <x:c r="F13" s="39" t="str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15" hidden="0" customHeight="1">
      <x:c r="A14" s="39" t="str">
        <x:v>IR TX</x:v>
      </x:c>
      <x:c r="B14" s="39" t="str">
        <x:v>Transmit test</x:v>
      </x:c>
      <x:c r="C14" s="39" t="str">
        <x:v>Send known code to your own receiver/device</x:v>
      </x:c>
      <x:c r="D14" s="39" t="str">
        <x:v>Receiver detects IR</x:v>
      </x:c>
      <x:c r="E14" s="39" t="str"/>
      <x:c r="F14" s="39" t="str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15" hidden="0" customHeight="1">
      <x:c r="A15" s="39" t="str">
        <x:v>microSD</x:v>
      </x:c>
      <x:c r="B15" s="39" t="str">
        <x:v>Write/read file</x:v>
      </x:c>
      <x:c r="C15" s="39" t="str">
        <x:v>Create test.txt and read it back</x:v>
      </x:c>
      <x:c r="D15" s="39" t="str">
        <x:v>Readback matches</x:v>
      </x:c>
      <x:c r="E15" s="39" t="str"/>
      <x:c r="F15" s="39" t="str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15" hidden="0" customHeight="1">
      <x:c r="A16" s="39" t="str">
        <x:v>CC1101 header</x:v>
      </x:c>
      <x:c r="B16" s="39" t="str">
        <x:v>SPI/module ID</x:v>
      </x:c>
      <x:c r="C16" s="39" t="str">
        <x:v>Attach legal lab module, read registers</x:v>
      </x:c>
      <x:c r="D16" s="39" t="str">
        <x:v>Module responds</x:v>
      </x:c>
      <x:c r="E16" s="39" t="str"/>
      <x:c r="F16" s="39" t="str">
        <x:v>Do not transmit until legal band/power confirmed.</x:v>
      </x:c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15" hidden="0" customHeight="1">
      <x:c r="A17" s="39" t="str">
        <x:v>PN532 header</x:v>
      </x:c>
      <x:c r="B17" s="39" t="str">
        <x:v>NFC version/tag test</x:v>
      </x:c>
      <x:c r="C17" s="39" t="str">
        <x:v>Attach PN532, read module version and your own tag UID</x:v>
      </x:c>
      <x:c r="D17" s="39" t="str">
        <x:v>Module responds and tag detected</x:v>
      </x:c>
      <x:c r="E17" s="39" t="str"/>
      <x:c r="F17" s="39" t="str">
        <x:v>Do not test with access cards you do not own/control.</x:v>
      </x:c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conditionalFormatting sqref="E2:E25">
    <x:cfRule type="expression" dxfId="1" priority="1">
      <x:formula>$E2="Done"</x:formula>
    </x:cfRule>
  </x:conditionalFormatting>
  <x:dataValidations count="1">
    <x:dataValidation type="list" sqref="E2:E17">
      <x:formula1>",Pass,Fail,N/A"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a38cdfcd6e46e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50" hidden="0" customWidth="1"/>
    <x:col min="4" max="4" width="44" hidden="0" customWidth="1"/>
  </x:cols>
  <x:sheetData>
    <x:row r="1" ht="15" hidden="0" customHeight="1">
      <x:c r="A1" s="47" t="str">
        <x:v>Area</x:v>
      </x:c>
      <x:c r="B1" s="47" t="str">
        <x:v>Allowed / Safe Use</x:v>
      </x:c>
      <x:c r="C1" s="47" t="str">
        <x:v>Avoid / Do Not Build</x:v>
      </x:c>
      <x:c r="D1" s="47" t="str">
        <x:v>Notes</x:v>
      </x:c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Wi-Fi/BLE</x:v>
      </x:c>
      <x:c r="B2" s="39" t="str">
        <x:v>Scan your own lab/network/devices for visibility, signal strength, inventory, diagnostics.</x:v>
      </x:c>
      <x:c r="C2" s="39" t="str">
        <x:v>Do not add deauth, credential capture, evil portal, or disruption tools.</x:v>
      </x:c>
      <x:c r="D2" s="39" t="str">
        <x:v>Defensive/authorized use only.</x:v>
      </x:c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str">
        <x:v>Sub-GHz</x:v>
      </x:c>
      <x:c r="B3" s="39" t="str">
        <x:v>Use legal ISM band, low power, your own lab receivers/devices.</x:v>
      </x:c>
      <x:c r="C3" s="39" t="str">
        <x:v>Do not clone/replay third-party remotes or transmit outside legal bands.</x:v>
      </x:c>
      <x:c r="D3" s="39" t="str">
        <x:v>Rules vary by country.</x:v>
      </x:c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NFC/RFID</x:v>
      </x:c>
      <x:c r="B4" s="39" t="str">
        <x:v>Read your own test tags/cards for learning.</x:v>
      </x:c>
      <x:c r="C4" s="39" t="str">
        <x:v>Do not clone or bypass access-control cards/systems.</x:v>
      </x:c>
      <x:c r="D4" s="39" t="str">
        <x:v>Use lab tags only.</x:v>
      </x:c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IR</x:v>
      </x:c>
      <x:c r="B5" s="39" t="str">
        <x:v>Control/test your own IR devices.</x:v>
      </x:c>
      <x:c r="C5" s="39" t="str">
        <x:v>Do not use in a way that disrupts public/shared equipment.</x:v>
      </x:c>
      <x:c r="D5" s="39" t="str">
        <x:v>IR is generally low-risk but still be responsible.</x:v>
      </x:c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Battery</x:v>
      </x:c>
      <x:c r="B6" s="39" t="str">
        <x:v>Use protected LiPo, correct charger current, correct polarity.</x:v>
      </x:c>
      <x:c r="C6" s="39" t="str">
        <x:v>Do not charge damaged cells or bypass protection.</x:v>
      </x:c>
      <x:c r="D6" s="39" t="str">
        <x:v>Add polarity markings and strain relief.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Distribution</x:v>
      </x:c>
      <x:c r="B7" s="39" t="str">
        <x:v>Use certified modules where possible; check FCC/ISED/CE rules.</x:v>
      </x:c>
      <x:c r="C7" s="39" t="str">
        <x:v>Do not sell/distribute without considering compliance testing.</x:v>
      </x:c>
      <x:c r="D7" s="39" t="str">
        <x:v>Especially important with RF transmitters.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  <x:tableParts count="1">
    <x:tablePart xmlns:r="http://schemas.openxmlformats.org/officeDocument/2006/relationships" r:id="R6d9b0c2405b844a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58" hidden="0" customWidth="1"/>
  </x:cols>
  <x:sheetData>
    <x:row r="1" ht="15" hidden="0" customHeight="1">
      <x:c r="A1" s="47" t="str">
        <x:v>Topic</x:v>
      </x:c>
      <x:c r="B1" s="47" t="str">
        <x:v>Source / Datasheet URL</x:v>
      </x:c>
      <x:c r="C1" s="47" t="str">
        <x:v>Used For</x:v>
      </x:c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15" hidden="0" customHeight="1">
      <x:c r="A2" s="39" t="str">
        <x:v>User design brief</x:v>
      </x:c>
      <x:c r="B2" s="39" t="str">
        <x:v>Uploaded text brief in conversation</x:v>
      </x:c>
      <x:c r="C2" s="39" t="str">
        <x:v>Request requirements and deliverable scope.</x:v>
      </x:c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15" hidden="0" customHeight="1">
      <x:c r="A3" s="39" t="str">
        <x:v>ESP32-WROOM-32E/32UE</x:v>
      </x:c>
      <x:c r="B3" s="39" t="str">
        <x:v>https://www.espressif.com/en/producttype/esp32-wroom-32e32ue</x:v>
      </x:c>
      <x:c r="C3" s="39" t="str">
        <x:v>MCU/module choice and antenna type.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15" hidden="0" customHeight="1">
      <x:c r="A4" s="39" t="str">
        <x:v>ESP32-WROOM-32E datasheet</x:v>
      </x:c>
      <x:c r="B4" s="39" t="str">
        <x:v>https://www.espressif.com/sites/default/files/documentation/esp32-wroom-32e_esp32-wroom-32ue_datasheet_en.pdf</x:v>
      </x:c>
      <x:c r="C4" s="39" t="str">
        <x:v>Module footprint/pin/antenna guidance.</x:v>
      </x:c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15" hidden="0" customHeight="1">
      <x:c r="A5" s="39" t="str">
        <x:v>MCP73831</x:v>
      </x:c>
      <x:c r="B5" s="39" t="str">
        <x:v>https://www.microchip.com/en-us/product/mcp73831</x:v>
      </x:c>
      <x:c r="C5" s="39" t="str">
        <x:v>LiPo charger recommendation.</x:v>
      </x:c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15" hidden="0" customHeight="1">
      <x:c r="A6" s="39" t="str">
        <x:v>MCP73831 datasheet</x:v>
      </x:c>
      <x:c r="B6" s="39" t="str">
        <x:v>https://ww1.microchip.com/downloads/en/DeviceDoc/MCP73831-Family-Data-Sheet-DS20001984H.pdf</x:v>
      </x:c>
      <x:c r="C6" s="39" t="str">
        <x:v>Charge current/prog resistor/power design.</x:v>
      </x:c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5" hidden="0" customHeight="1">
      <x:c r="A7" s="39" t="str">
        <x:v>AP2112 regulator</x:v>
      </x:c>
      <x:c r="B7" s="39" t="str">
        <x:v>https://www.diodes.com/part/view/AP2112</x:v>
      </x:c>
      <x:c r="C7" s="39" t="str">
        <x:v>3.3V regulator recommendation.</x:v>
      </x:c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15" hidden="0" customHeight="1">
      <x:c r="A8" s="39" t="str">
        <x:v>CH340 USB-UART</x:v>
      </x:c>
      <x:c r="B8" s="39" t="str">
        <x:v>https://cdn.sparkfun.com/assets/5/0/a/8/5/CH340DS1.PDF</x:v>
      </x:c>
      <x:c r="C8" s="39" t="str">
        <x:v>USB-UART bridge option.</x:v>
      </x:c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15" hidden="0" customHeight="1">
      <x:c r="A9" s="39" t="str">
        <x:v>SSD1306 OLED</x:v>
      </x:c>
      <x:c r="B9" s="39" t="str">
        <x:v>https://cdn-shop.adafruit.com/datasheets/SSD1306.pdf</x:v>
      </x:c>
      <x:c r="C9" s="39" t="str">
        <x:v>OLED display controller reference.</x:v>
      </x:c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15" hidden="0" customHeight="1">
      <x:c r="A10" s="39" t="str">
        <x:v>CC1101</x:v>
      </x:c>
      <x:c r="B10" s="39" t="str">
        <x:v>https://www.ti.com/lit/ds/symlink/cc1101.pdf</x:v>
      </x:c>
      <x:c r="C10" s="39" t="str">
        <x:v>Optional sub-GHz module/header reference.</x:v>
      </x:c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15" hidden="0" customHeight="1">
      <x:c r="A11" s="39" t="str">
        <x:v>PN532</x:v>
      </x:c>
      <x:c r="B11" s="39" t="str">
        <x:v>https://www.nxp.com/products/rfid-nfc/nfc-hf/nfc-readers/nfc-integrated-solution%3APN5321A3HN</x:v>
      </x:c>
      <x:c r="C11" s="39" t="str">
        <x:v>Optional NFC module/header reference.</x:v>
      </x:c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15" hidden="0" customHeight="1">
      <x:c r="A12" s="39" t="str">
        <x:v>KiCad ESP32 footprint</x:v>
      </x:c>
      <x:c r="B12" s="39" t="str">
        <x:v>https://github.com/KiCad/kicad-footprints/blob/master/RF_Module.pretty/ESP32-WROOM-32.kicad_mod</x:v>
      </x:c>
      <x:c r="C12" s="39" t="str">
        <x:v>Footprint name/reference.</x:v>
      </x:c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  <x:tableParts count="1">
    <x:tablePart xmlns:r="http://schemas.openxmlformats.org/officeDocument/2006/relationships" r:id="R81935a5134de47b3"/>
  </x:tableParts>
</x:worksheet>
</file>